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90" yWindow="135" windowWidth="11130" windowHeight="7995" activeTab="2"/>
  </bookViews>
  <sheets>
    <sheet name="Média Móvel" sheetId="7" r:id="rId1"/>
    <sheet name="Extrai Base" sheetId="11" r:id="rId2"/>
    <sheet name="Painel FIDC" sheetId="6" r:id="rId3"/>
  </sheets>
  <definedNames>
    <definedName name="_xlnm.Print_Area" localSheetId="2">'Painel FIDC'!$D$4:$AG$90</definedName>
    <definedName name="DadosExternos_1" localSheetId="1" hidden="1">'Extrai Base'!$A$26:$C$37</definedName>
    <definedName name="orderbysql_orderbysql_netfactor_checagemTEMP" localSheetId="1" hidden="1">'Extrai Base'!$A$3:$F$4</definedName>
    <definedName name="orderbysql_orderbysql_netfactor_checagemTEMP_1" localSheetId="1" hidden="1">'Extrai Base'!$A$8:$B$13</definedName>
    <definedName name="orderbysql_orderbysql_netfactor_checagemTEMP_2" localSheetId="1" hidden="1">'Extrai Base'!$A$17:$B$22</definedName>
  </definedNames>
  <calcPr calcId="145621"/>
</workbook>
</file>

<file path=xl/calcChain.xml><?xml version="1.0" encoding="utf-8"?>
<calcChain xmlns="http://schemas.openxmlformats.org/spreadsheetml/2006/main">
  <c r="D68" i="6" l="1"/>
  <c r="D69" i="6"/>
  <c r="D70" i="6"/>
  <c r="D71" i="6"/>
  <c r="D67" i="6"/>
  <c r="F1" i="6"/>
  <c r="G89" i="6"/>
  <c r="E88" i="6"/>
  <c r="G85" i="6"/>
  <c r="E85" i="6"/>
  <c r="E84" i="6"/>
  <c r="Z73" i="6"/>
  <c r="Z74" i="6"/>
  <c r="Z75" i="6"/>
  <c r="Z76" i="6"/>
  <c r="Z77" i="6"/>
  <c r="Z78" i="6"/>
  <c r="Z79" i="6"/>
  <c r="Z80" i="6"/>
  <c r="Z81" i="6"/>
  <c r="Z82" i="6"/>
  <c r="Z72" i="6"/>
  <c r="Z59" i="6"/>
  <c r="Z60" i="6"/>
  <c r="Z61" i="6"/>
  <c r="Z62" i="6"/>
  <c r="Z63" i="6"/>
  <c r="Z64" i="6"/>
  <c r="Z65" i="6"/>
  <c r="Z66" i="6"/>
  <c r="Z67" i="6"/>
  <c r="Z58" i="6"/>
  <c r="F77" i="6"/>
  <c r="F78" i="6"/>
  <c r="F79" i="6"/>
  <c r="F80" i="6"/>
  <c r="F76" i="6"/>
  <c r="D77" i="6"/>
  <c r="D78" i="6"/>
  <c r="D79" i="6"/>
  <c r="D80" i="6"/>
  <c r="D76" i="6"/>
  <c r="F68" i="6"/>
  <c r="F69" i="6"/>
  <c r="F70" i="6"/>
  <c r="F71" i="6"/>
  <c r="F67" i="6"/>
  <c r="E89" i="6"/>
  <c r="R14" i="6" l="1"/>
  <c r="AH62" i="6"/>
  <c r="AH63" i="6"/>
  <c r="Z88" i="6" l="1"/>
  <c r="G88" i="6" l="1"/>
  <c r="B67" i="7"/>
  <c r="B66" i="7"/>
  <c r="B65" i="7"/>
  <c r="B64" i="7"/>
  <c r="B63" i="7"/>
  <c r="B62" i="7"/>
  <c r="B61" i="7"/>
  <c r="B58" i="7"/>
  <c r="B57" i="7"/>
  <c r="B56" i="7"/>
  <c r="B55" i="7"/>
  <c r="C72" i="7" s="1"/>
  <c r="B54" i="7"/>
  <c r="C71" i="7" s="1"/>
  <c r="B53" i="7"/>
  <c r="C70" i="7" s="1"/>
  <c r="B52" i="7"/>
  <c r="C69" i="7" s="1"/>
  <c r="B28" i="7"/>
  <c r="B27" i="7"/>
  <c r="B26" i="7"/>
  <c r="B25" i="7"/>
  <c r="B24" i="7"/>
  <c r="B23" i="7"/>
  <c r="B20" i="7"/>
  <c r="B19" i="7"/>
  <c r="B18" i="7"/>
  <c r="C34" i="7" s="1"/>
  <c r="B17" i="7"/>
  <c r="B16" i="7"/>
  <c r="B15" i="7"/>
  <c r="Z57" i="6" l="1"/>
  <c r="AA57" i="6" s="1"/>
  <c r="Z71" i="6"/>
  <c r="AA71" i="6" s="1"/>
  <c r="AA82" i="6" l="1"/>
  <c r="AA80" i="6"/>
  <c r="AA73" i="6"/>
  <c r="AA75" i="6"/>
  <c r="AA78" i="6"/>
  <c r="AA77" i="6"/>
  <c r="AA72" i="6"/>
  <c r="AA79" i="6"/>
  <c r="AA81" i="6"/>
  <c r="AA74" i="6"/>
  <c r="AA76" i="6"/>
  <c r="AA59" i="6"/>
  <c r="AA62" i="6"/>
  <c r="AA64" i="6"/>
  <c r="AA63" i="6"/>
  <c r="AA60" i="6"/>
  <c r="AA58" i="6"/>
  <c r="AA67" i="6"/>
  <c r="AA61" i="6"/>
  <c r="AA65" i="6"/>
  <c r="AA66" i="6"/>
  <c r="F72" i="6" l="1"/>
  <c r="F81" i="6"/>
  <c r="F73" i="6"/>
  <c r="H53" i="6"/>
  <c r="G53" i="6"/>
  <c r="F53" i="6"/>
  <c r="E53" i="6"/>
  <c r="AD88" i="6" s="1"/>
  <c r="H35" i="6"/>
  <c r="G35" i="6"/>
  <c r="G12" i="6" s="1"/>
  <c r="G13" i="6" s="1"/>
  <c r="F35" i="6"/>
  <c r="F12" i="6" s="1"/>
  <c r="F13" i="6" s="1"/>
  <c r="E35" i="6"/>
  <c r="P24" i="6"/>
  <c r="Z87" i="6" l="1"/>
  <c r="AD87" i="6" s="1"/>
  <c r="AF119" i="6"/>
  <c r="AF117" i="6"/>
  <c r="D53" i="6"/>
  <c r="G59" i="6" s="1"/>
  <c r="D35" i="6"/>
  <c r="G72" i="6" l="1"/>
  <c r="G81" i="6"/>
  <c r="AF118" i="6"/>
  <c r="AG118" i="6"/>
  <c r="AC114" i="6"/>
  <c r="AC115" i="6"/>
  <c r="AC113" i="6" s="1"/>
  <c r="AE122" i="6" s="1"/>
  <c r="AC117" i="6"/>
  <c r="AC119" i="6"/>
  <c r="G68" i="6"/>
  <c r="G71" i="6"/>
  <c r="G67" i="6"/>
  <c r="G70" i="6"/>
  <c r="G69" i="6"/>
  <c r="G73" i="6"/>
  <c r="E60" i="6"/>
  <c r="F60" i="6"/>
  <c r="G80" i="6"/>
  <c r="G78" i="6"/>
  <c r="G79" i="6"/>
  <c r="G77" i="6"/>
  <c r="G76" i="6"/>
  <c r="AG121" i="6" l="1"/>
  <c r="AE118" i="6"/>
  <c r="AE114" i="6"/>
  <c r="AF114" i="6"/>
  <c r="AF115" i="6"/>
  <c r="AF113" i="6" s="1"/>
  <c r="AG122" i="6" s="1"/>
  <c r="AH87" i="6" s="1"/>
  <c r="AC118" i="6"/>
  <c r="AE121" i="6" s="1"/>
  <c r="AH86" i="6" s="1"/>
  <c r="AG114" i="6" l="1"/>
</calcChain>
</file>

<file path=xl/connections.xml><?xml version="1.0" encoding="utf-8"?>
<connections xmlns="http://schemas.openxmlformats.org/spreadsheetml/2006/main">
  <connection id="1" keepAlive="1" name="orderbysql" type="5" refreshedVersion="4" savePassword="1" background="1" saveData="1">
    <dbPr connection="Provider=SQLOLEDB.1;Password=chica;Persist Security Info=True;User ID=sa;Initial Catalog=netfactor;Data Source=orderbysql\orderbysql;Use Procedure for Prepare=1;Auto Translate=True;Packet Size=4096;Workstation ID=SP-TI-02;Use Encryption for Data=False;Tag with column collation when possible=False" command="select _x000d__x000a_  max(e.TituloPosicaoData) as DataDaExistencia_x000d__x000a_  , sum(case when e.ValorNominal &lt; 50 then 1 else 0 end) as TitulosMenores50Quantidade_x000d__x000a_  , max(case when e.ValorNominal &lt; 50 then e.DataVencimento else 0 end) as TitulosMenores50UltimoVencimento_x000d__x000a_  , round(sum(case when e.DataVencimento &gt;= e.TituloPosicaoData then (DateDiff(d, e.TituloPosicaoData, e.DataVencimento) *  e.ValorNominal) else 0 end) /_x000d__x000a_    sum(case when e.DataVencimento &gt;= e.TituloPosicaoData then (e.ValorNominal) else 0 end), 2) as PrazoMedioDoFundo_x000d__x000a_  , sum(case when e.TipoTitulo = 1 then e.ValorNominal else 0 end) SomaDosCheques_x000d__x000a_  , max(e.DataVencimento) VencDoUltimoTitulo_x000d__x000a_from _x000d__x000a_  petra.PetraExistencia e _x000d__x000a_where _x000d__x000a_  e.empCodigo = 2 _x000d__x000a_  and e.EmAberto = 1"/>
  </connection>
  <connection id="2" keepAlive="1" name="orderbysqltop5sacados" type="5" refreshedVersion="4" savePassword="1" background="1" saveData="1">
    <dbPr connection="Provider=SQLOLEDB.1;Password=chica;Persist Security Info=True;User ID=sa;Initial Catalog=netfactor;Data Source=orderbysql\orderbysql;Use Procedure for Prepare=1;Auto Translate=True;Packet Size=4096;Workstation ID=SP-TI-02;Use Encryption for Data=False;Tag with column collation when possible=False" command="select _x000d__x000a_  top 5_x000d__x000a_  s.Nome_x000d__x000a_  , sum(e.ValorNominal) Valor_x000d__x000a_from_x000d__x000a_  petra.PetraExistencia e_x000d__x000a_  join petra.PetraSacado s on e.SacadoTipoInscricao = s.TipoInscricao and e.SacadoCnpjCpf = s.CnpjCpf_x000d__x000a_where_x000d__x000a_  e.empCodigo = 2 _x000d__x000a_  and e.EmAberto = 1_x000d__x000a_group by_x000d__x000a_  s.Nome_x000d__x000a_order by_x000d__x000a_  2 desc"/>
  </connection>
  <connection id="3" keepAlive="1" name="orderbysqlVencidosEPdd" type="5" refreshedVersion="4" savePassword="1" background="1" saveData="1">
    <dbPr connection="Provider=SQLOLEDB.1;Password=chica;Persist Security Info=True;User ID=sa;Initial Catalog=netfactor;Data Source=orderbysql\orderbysql;Use Procedure for Prepare=1;Auto Translate=True;Packet Size=4096;Workstation ID=SP-TI-02;Use Encryption for Data=False;Tag with column collation when possible=False" command="select _x000d__x000a_  p.Descricao as Periodo_x000d__x000a_  , sum(e.ValorNominal) as Valor_x000d__x000a_  , sum(e.PddRegulamento + e.Pdd489) as PDD_x000d__x000a_from _x000d__x000a_  petra.PetraExistencia e _x000d__x000a_  join petra.Periodo p on DateDiff(d, e.TituloPosicaoData, e.DataVencimento) &gt;= p.De and DateDiff(d, e.TituloPosicaoData, e.DataVencimento) &lt;= p.Ate_x000d__x000a_where _x000d__x000a_  e.empCodigo = 2 _x000d__x000a_  and e.EmAberto = 1_x000d__x000a_group by_x000d__x000a_  p.codPeriodo_x000d__x000a_  , p.Descricao_x000d__x000a_order by _x000d__x000a_  p.codPeriodo"/>
  </connection>
  <connection id="4" keepAlive="1" name="orderbysqTop5Cedentes" type="5" refreshedVersion="4" savePassword="1" background="1" saveData="1">
    <dbPr connection="Provider=SQLOLEDB.1;Password=chica;Persist Security Info=True;User ID=sa;Initial Catalog=netfactor;Data Source=orderbysql\orderbysql;Use Procedure for Prepare=1;Auto Translate=True;Packet Size=4096;Workstation ID=SP-TI-02;Use Encryption for Data=False;Tag with column collation when possible=False" command="select _x000d__x000a_  top 5_x000d__x000a_  o.Nome_x000d__x000a_  , sum(e.ValorNominal) Valor_x000d__x000a_from_x000d__x000a_  petra.PetraExistencia e_x000d__x000a_  join petra.PetraOriginador o on e.OriginadorTipoInscricao = o.TipoInscricao and e.OriginadorCnpjCpf = o.CnpjCpf_x000d__x000a_where_x000d__x000a_  e.empCodigo = 2 _x000d__x000a_  and e.EmAberto = 1_x000d__x000a_group by_x000d__x000a_  o.Nome_x000d__x000a_order by_x000d__x000a_  2 desc"/>
  </connection>
</connections>
</file>

<file path=xl/sharedStrings.xml><?xml version="1.0" encoding="utf-8"?>
<sst xmlns="http://schemas.openxmlformats.org/spreadsheetml/2006/main" count="237" uniqueCount="167">
  <si>
    <t>Risco</t>
  </si>
  <si>
    <t xml:space="preserve"> </t>
  </si>
  <si>
    <t>Σ dos cheques</t>
  </si>
  <si>
    <t>% dos cheques</t>
  </si>
  <si>
    <t>PM atual</t>
  </si>
  <si>
    <t>60 dias</t>
  </si>
  <si>
    <t>Crescimento da subordinada Jr</t>
  </si>
  <si>
    <t>Rentabilidade</t>
  </si>
  <si>
    <t>Rentabilidade s/ CDI</t>
  </si>
  <si>
    <t>Cálculo do Índice de Cobertura do fundo</t>
  </si>
  <si>
    <t>Quota:</t>
  </si>
  <si>
    <t>Recompra</t>
  </si>
  <si>
    <t>Índice de Cobertura</t>
  </si>
  <si>
    <t>PL Subordinadas</t>
  </si>
  <si>
    <t>CVNP</t>
  </si>
  <si>
    <t>Janeiro</t>
  </si>
  <si>
    <t>Total de Quotas da Série</t>
  </si>
  <si>
    <t>Fevereiro</t>
  </si>
  <si>
    <t>Valor Unitário de Emissão</t>
  </si>
  <si>
    <t>Março</t>
  </si>
  <si>
    <t>Valor Captado</t>
  </si>
  <si>
    <t>Abril</t>
  </si>
  <si>
    <t>Disponibilidade para Captação</t>
  </si>
  <si>
    <t>Maio</t>
  </si>
  <si>
    <t>Data Emissão</t>
  </si>
  <si>
    <t>Junho</t>
  </si>
  <si>
    <t>Início do Resgate</t>
  </si>
  <si>
    <t>Julho</t>
  </si>
  <si>
    <t>Final do Resgate</t>
  </si>
  <si>
    <t>Agosto</t>
  </si>
  <si>
    <t>Setembro</t>
  </si>
  <si>
    <t>Outubro</t>
  </si>
  <si>
    <t>Valor aplicado do fundo</t>
  </si>
  <si>
    <t>Novembro</t>
  </si>
  <si>
    <t>Dezembro</t>
  </si>
  <si>
    <t>Investidor</t>
  </si>
  <si>
    <t>Subordinada</t>
  </si>
  <si>
    <t>Ano</t>
  </si>
  <si>
    <t>ANO 2014</t>
  </si>
  <si>
    <t>ANO 2013</t>
  </si>
  <si>
    <t>ANO 2012</t>
  </si>
  <si>
    <t>CREDIT BR</t>
  </si>
  <si>
    <t>Valor atualizado</t>
  </si>
  <si>
    <t>Sacado</t>
  </si>
  <si>
    <t>Cedente</t>
  </si>
  <si>
    <t>Detalhamento dos Créditos Vencidos Não Pagos</t>
  </si>
  <si>
    <t>Vencido</t>
  </si>
  <si>
    <t>Até 30 dias</t>
  </si>
  <si>
    <t>Valor</t>
  </si>
  <si>
    <t>De 31 a 60 dias</t>
  </si>
  <si>
    <t>De 61 a 90 dias</t>
  </si>
  <si>
    <t>De 91 a 120 dias</t>
  </si>
  <si>
    <t>De 121 a 150 dias</t>
  </si>
  <si>
    <t>De 151 a 180 dias</t>
  </si>
  <si>
    <t>De 181 a 360 dias</t>
  </si>
  <si>
    <t>Total 5 maiores</t>
  </si>
  <si>
    <t>De 361 a 720 dias</t>
  </si>
  <si>
    <t>De 721 a 1080 dias</t>
  </si>
  <si>
    <t>Acima de 1080 dias</t>
  </si>
  <si>
    <t>Títulos menores de R$ 50</t>
  </si>
  <si>
    <t>Prazo Médio do Fundo</t>
  </si>
  <si>
    <t>Qtde. Títulos</t>
  </si>
  <si>
    <t>PM Limite</t>
  </si>
  <si>
    <t>Último vecto.</t>
  </si>
  <si>
    <t>Critérios de Elegibilidade</t>
  </si>
  <si>
    <t>Individual - %</t>
  </si>
  <si>
    <t>Individual - $</t>
  </si>
  <si>
    <t>3 maiores - %</t>
  </si>
  <si>
    <t>3 maiores - $</t>
  </si>
  <si>
    <t>5 maiores - %</t>
  </si>
  <si>
    <t>5 maiores - $</t>
  </si>
  <si>
    <t>REGRA</t>
  </si>
  <si>
    <t>Total 3 maiores</t>
  </si>
  <si>
    <t>Venc. da última cota</t>
  </si>
  <si>
    <t>Análise do PDD</t>
  </si>
  <si>
    <t>Mes/Ano</t>
  </si>
  <si>
    <t>Total Vcto Mês</t>
  </si>
  <si>
    <t>Total Pago até 5 dias atraso</t>
  </si>
  <si>
    <t>Total Pago até 30 dias atraso</t>
  </si>
  <si>
    <t>Total Pago até 60 dias atraso</t>
  </si>
  <si>
    <t>Total Pago até 90 dias atraso</t>
  </si>
  <si>
    <t>Total Pago até 180 dias atraso</t>
  </si>
  <si>
    <t>Total Pago Acima de 180 dias atraso</t>
  </si>
  <si>
    <t>Vcdos ainda não pagos</t>
  </si>
  <si>
    <t>08/2014</t>
  </si>
  <si>
    <t>09/2014</t>
  </si>
  <si>
    <t>10/2014</t>
  </si>
  <si>
    <t>11/2014</t>
  </si>
  <si>
    <t>12/2014</t>
  </si>
  <si>
    <t>01/2015</t>
  </si>
  <si>
    <t>02/2015</t>
  </si>
  <si>
    <t>(a) volume de Direitos Creditórios vencidos no mês que se encontram em atraso há mais de 60 (sessenta) dias ou que tenham sido pagos com atraso superior a 60 (sessenta) dias.</t>
  </si>
  <si>
    <t>(b) volume total de Direitos Creditórios com data de vencimento no mesmo mês.</t>
  </si>
  <si>
    <t>Eventos de Avaliação e liquidação</t>
  </si>
  <si>
    <t>Índice de Recompra</t>
  </si>
  <si>
    <t>últimos 3 meses</t>
  </si>
  <si>
    <t>Sub Jr</t>
  </si>
  <si>
    <t>Vencimento do último direito creditório</t>
  </si>
  <si>
    <t>Venc. do último título</t>
  </si>
  <si>
    <t>Último</t>
  </si>
  <si>
    <t>Penúltimo</t>
  </si>
  <si>
    <t>Razão de Garantia</t>
  </si>
  <si>
    <t>Capital Subordinador_FIDC</t>
  </si>
  <si>
    <t>Capital Subordinado_FIDC</t>
  </si>
  <si>
    <t>Capital Subordinador Jr_FIDC</t>
  </si>
  <si>
    <t>Espaço atual para Captação</t>
  </si>
  <si>
    <t>Capital exceto sub jr_FIDC</t>
  </si>
  <si>
    <t>Razão s/ 28% do capital SUB</t>
  </si>
  <si>
    <t>Razão s/ 18% do capital SUB JR</t>
  </si>
  <si>
    <t>Excesso Garantia Sub</t>
  </si>
  <si>
    <t>Excesso Gar. Sub</t>
  </si>
  <si>
    <t>not rating</t>
  </si>
  <si>
    <t>Índices de Cobertura e CVNP</t>
  </si>
  <si>
    <t>Data da existência:</t>
  </si>
  <si>
    <t>MONITORAMENTO FIDC NP</t>
  </si>
  <si>
    <t>Informações cadastrais das quotas do FIDC NP</t>
  </si>
  <si>
    <t>Informações de crescimento e rentabilidade do FIDC NP</t>
  </si>
  <si>
    <t>PL do FIDC NP:</t>
  </si>
  <si>
    <t>Rating do Risco do FIDC NP</t>
  </si>
  <si>
    <t>CDI 100% TXF 8%</t>
  </si>
  <si>
    <t>PANCETTI FIM CP</t>
  </si>
  <si>
    <t>Mezanino</t>
  </si>
  <si>
    <t>Mezanino II</t>
  </si>
  <si>
    <t>Meza 1</t>
  </si>
  <si>
    <t>Meza 2</t>
  </si>
  <si>
    <t>CCC</t>
  </si>
  <si>
    <t xml:space="preserve">Média 60 dias </t>
  </si>
  <si>
    <t xml:space="preserve">Média 30 dias </t>
  </si>
  <si>
    <t>Índice de Inadimplência</t>
  </si>
  <si>
    <t>(a) volume de Direitos Creditórios vencidos no mês que se encontram em atraso de 30 a 60 dias ou que tenham sido pagos com atraso de 30 a 60 dias.</t>
  </si>
  <si>
    <t>Índice de Inadimplência 30 dias - dez/14</t>
  </si>
  <si>
    <t>Índice de Inadimplência 30 dias - jan/15</t>
  </si>
  <si>
    <t>Índice de Inadimplência 30 dias - fev/15</t>
  </si>
  <si>
    <t>Índice de Inadimplência 30 dias - mar/15</t>
  </si>
  <si>
    <t>Índice de Inadimplência 60 dias - dez/14</t>
  </si>
  <si>
    <t>Índice de Inadimplência 60 dias - jan/15</t>
  </si>
  <si>
    <t>Índice de Inadimplência 60 dias - fev/15</t>
  </si>
  <si>
    <t>Índice de Inadimplência 60 dias - mar/15</t>
  </si>
  <si>
    <r>
      <t xml:space="preserve">Artigo 124 - VI- Caso,no1º Dia Útil de cada mês, a Administradora verifique que: (i) a média móvel ponderada de 3 (três) meses, desprezado o mês imediatamente anterior, do </t>
    </r>
    <r>
      <rPr>
        <b/>
        <sz val="8"/>
        <color theme="1"/>
        <rFont val="Calibri"/>
        <family val="2"/>
        <scheme val="minor"/>
      </rPr>
      <t>"Índice de Inadimplência 30 dias"</t>
    </r>
    <r>
      <rPr>
        <sz val="8"/>
        <color theme="1"/>
        <rFont val="Calibri"/>
        <family val="2"/>
        <scheme val="minor"/>
      </rPr>
      <t>, seja superior a 7% (sete por cento), sendo que o Índice de Inadimplência 30 dias é definido como a razão entre: (a) volume de Direitos Creditórios vencidos no mês que se encontram em atraso de 30 a 60 dias ou que tenham sido pagos com atraso de 30 a 60 dias e (b)volume total de Direitos Creditórios com data de vencimento no mesmo mês;ou</t>
    </r>
  </si>
  <si>
    <r>
      <t xml:space="preserve">(ii) a média móvel ponderada de 3 (três) meses, desprezados os 2 (dois) meses imediatamente anteriores, do </t>
    </r>
    <r>
      <rPr>
        <b/>
        <sz val="8"/>
        <color theme="1"/>
        <rFont val="Calibri"/>
        <family val="2"/>
        <scheme val="minor"/>
      </rPr>
      <t>"Índice de Inadimplência 60 dias"</t>
    </r>
    <r>
      <rPr>
        <sz val="8"/>
        <color theme="1"/>
        <rFont val="Calibri"/>
        <family val="2"/>
        <scheme val="minor"/>
      </rPr>
      <t>, seja superior a 5%(cinco por cento), sendo que o Índice de Inadimplência 60 dias é definido como a razão entre: (a) volume de Direitos Creditórios vencidos no mês que se encontram em atraso há mais de 60 dias ou que tenham sido pagos com atraso superior a 60 dias e (b) volume total de Direitos Creditórios com data de vencimento no mesmo mês.</t>
    </r>
  </si>
  <si>
    <t>% máximo</t>
  </si>
  <si>
    <t>Percentual de CH operados</t>
  </si>
  <si>
    <t>PDD</t>
  </si>
  <si>
    <t>Provisão para devedores duvidos PDD</t>
  </si>
  <si>
    <t>A vencer</t>
  </si>
  <si>
    <t>Informações gerais</t>
  </si>
  <si>
    <t>DataDaExistencia</t>
  </si>
  <si>
    <t>TitulosMenores50Quantidade</t>
  </si>
  <si>
    <t>TitulosMenores50UltimoVencimento</t>
  </si>
  <si>
    <t>PrazoMedioDoFundo</t>
  </si>
  <si>
    <t>SomaDosCheques</t>
  </si>
  <si>
    <t>VencDoUltimoTitulo</t>
  </si>
  <si>
    <t>Top 5 Cedentes</t>
  </si>
  <si>
    <t>Nome</t>
  </si>
  <si>
    <t>NOVACKI PAPEL EMBALAGENS S/A</t>
  </si>
  <si>
    <t>ITALO LANFREDI SA INDUSTRIAS MECANICAS</t>
  </si>
  <si>
    <t>JJZ ALIMENTOS S/A</t>
  </si>
  <si>
    <t>ROLL FOR ARTEFATOS METALICOS LTDA</t>
  </si>
  <si>
    <t>CONEXAO SISTEMAS DE PROTESE LTDA</t>
  </si>
  <si>
    <t>Top 5 Sacados</t>
  </si>
  <si>
    <t>ZF DO BRASIL LTDA</t>
  </si>
  <si>
    <t>ECO X SOL TECNOLOGICAS UNIDADES MOVEIS E</t>
  </si>
  <si>
    <t>Extrusa Ind e Com de Plasticos Ltda</t>
  </si>
  <si>
    <t>MABE BRASIL ELETR LT (ITU)</t>
  </si>
  <si>
    <t>NADIR FIGUEIREDO INDUSTRIA E COM. S.A.</t>
  </si>
  <si>
    <t>Vencidos e PDD</t>
  </si>
  <si>
    <t>Periodo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</si>
</sst>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#,##0.00_ ;\-#,##0.00\ "/>
    <numFmt numFmtId="165" formatCode="0.0%"/>
    <numFmt numFmtId="166" formatCode="mm/yyyy"/>
    <numFmt numFmtId="167" formatCode="&quot;R$&quot;\ #,##0"/>
    <numFmt numFmtId="168" formatCode="_-* #,##0_-;\-* #,##0_-;_-* &quot;-&quot;??_-;_-@_-"/>
    <numFmt numFmtId="169" formatCode="&quot;R$&quot;\ #,##0.00"/>
    <numFmt numFmtId="170" formatCode="_(* #,##0.00_);_(* \(#,##0.00\);_(* &quot;-&quot;??_);_(@_)"/>
    <numFmt numFmtId="171" formatCode="_(&quot;R$ &quot;* #,##0.00_);_(&quot;R$ &quot;* \(#,##0.00\);_(&quot;R$ &quot;* \-??_);_(@_)"/>
    <numFmt numFmtId="172" formatCode="_(&quot;R$ &quot;* #,##0.00_);_(&quot;R$ &quot;* \(#,##0.00\);_(&quot;R$ &quot;* &quot;-&quot;??_);_(@_)"/>
    <numFmt numFmtId="173" formatCode="_(* #,##0.00_);_(* \(#,##0.00\);_(* \-??_);_(@_)"/>
    <numFmt numFmtId="174" formatCode="#,##0_ ;\-#,##0\ 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3"/>
      <name val="Calibri"/>
      <family val="2"/>
      <scheme val="minor"/>
    </font>
    <font>
      <b/>
      <sz val="8"/>
      <color theme="3"/>
      <name val="Calibri"/>
      <family val="2"/>
      <scheme val="minor"/>
    </font>
    <font>
      <u/>
      <sz val="11"/>
      <color indexed="12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i/>
      <u/>
      <sz val="8"/>
      <color theme="1"/>
      <name val="Calibri"/>
      <family val="2"/>
      <scheme val="minor"/>
    </font>
    <font>
      <b/>
      <sz val="7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b/>
      <sz val="8"/>
      <color rgb="FFFF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26"/>
        <bgColor indexed="9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ck">
        <color theme="0"/>
      </right>
      <top/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/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ck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</borders>
  <cellStyleXfs count="11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70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171" fontId="25" fillId="0" borderId="0" applyFill="0" applyBorder="0" applyAlignment="0" applyProtection="0"/>
    <xf numFmtId="171" fontId="25" fillId="0" borderId="0" applyFill="0" applyBorder="0" applyAlignment="0" applyProtection="0"/>
    <xf numFmtId="172" fontId="25" fillId="0" borderId="0" applyFont="0" applyFill="0" applyBorder="0" applyAlignment="0" applyProtection="0"/>
    <xf numFmtId="172" fontId="25" fillId="0" borderId="0" applyFont="0" applyFill="0" applyBorder="0" applyAlignment="0" applyProtection="0"/>
    <xf numFmtId="172" fontId="25" fillId="0" borderId="0" applyFont="0" applyFill="0" applyBorder="0" applyAlignment="0" applyProtection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26" fillId="0" borderId="0">
      <alignment vertical="top"/>
    </xf>
    <xf numFmtId="0" fontId="25" fillId="0" borderId="0"/>
    <xf numFmtId="0" fontId="25" fillId="0" borderId="0"/>
    <xf numFmtId="0" fontId="27" fillId="0" borderId="0"/>
    <xf numFmtId="0" fontId="25" fillId="0" borderId="0"/>
    <xf numFmtId="0" fontId="25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37" borderId="22" applyNumberFormat="0" applyAlignment="0" applyProtection="0"/>
    <xf numFmtId="0" fontId="1" fillId="8" borderId="8" applyNumberFormat="0" applyFont="0" applyAlignment="0" applyProtection="0"/>
    <xf numFmtId="9" fontId="25" fillId="0" borderId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170" fontId="1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top"/>
    </xf>
    <xf numFmtId="43" fontId="26" fillId="0" borderId="0" applyFont="0" applyFill="0" applyBorder="0" applyAlignment="0" applyProtection="0">
      <alignment vertical="top"/>
    </xf>
    <xf numFmtId="43" fontId="26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3" fontId="25" fillId="0" borderId="0" applyFill="0" applyBorder="0" applyAlignment="0" applyProtection="0"/>
  </cellStyleXfs>
  <cellXfs count="166">
    <xf numFmtId="0" fontId="0" fillId="0" borderId="0" xfId="0"/>
    <xf numFmtId="0" fontId="18" fillId="0" borderId="0" xfId="0" applyFont="1"/>
    <xf numFmtId="14" fontId="18" fillId="0" borderId="0" xfId="0" applyNumberFormat="1" applyFont="1"/>
    <xf numFmtId="0" fontId="18" fillId="0" borderId="0" xfId="0" applyFont="1" applyAlignment="1">
      <alignment horizontal="center"/>
    </xf>
    <xf numFmtId="43" fontId="18" fillId="0" borderId="0" xfId="1" applyFont="1"/>
    <xf numFmtId="0" fontId="18" fillId="0" borderId="0" xfId="0" applyFont="1" applyBorder="1"/>
    <xf numFmtId="9" fontId="20" fillId="33" borderId="0" xfId="2" applyFont="1" applyFill="1" applyBorder="1" applyAlignment="1">
      <alignment horizontal="center" vertical="center"/>
    </xf>
    <xf numFmtId="0" fontId="21" fillId="33" borderId="0" xfId="0" applyFont="1" applyFill="1"/>
    <xf numFmtId="0" fontId="18" fillId="33" borderId="0" xfId="0" applyFont="1" applyFill="1"/>
    <xf numFmtId="0" fontId="20" fillId="33" borderId="0" xfId="0" applyFont="1" applyFill="1"/>
    <xf numFmtId="0" fontId="20" fillId="33" borderId="10" xfId="0" applyFont="1" applyFill="1" applyBorder="1"/>
    <xf numFmtId="0" fontId="20" fillId="33" borderId="11" xfId="0" applyFont="1" applyFill="1" applyBorder="1"/>
    <xf numFmtId="0" fontId="20" fillId="33" borderId="12" xfId="0" applyFont="1" applyFill="1" applyBorder="1"/>
    <xf numFmtId="0" fontId="20" fillId="33" borderId="13" xfId="0" applyFont="1" applyFill="1" applyBorder="1"/>
    <xf numFmtId="0" fontId="22" fillId="35" borderId="10" xfId="1" applyNumberFormat="1" applyFont="1" applyFill="1" applyBorder="1"/>
    <xf numFmtId="43" fontId="22" fillId="35" borderId="10" xfId="1" applyFont="1" applyFill="1" applyBorder="1"/>
    <xf numFmtId="10" fontId="22" fillId="35" borderId="10" xfId="2" applyNumberFormat="1" applyFont="1" applyFill="1" applyBorder="1"/>
    <xf numFmtId="0" fontId="23" fillId="35" borderId="10" xfId="0" applyFont="1" applyFill="1" applyBorder="1" applyAlignment="1">
      <alignment horizontal="center"/>
    </xf>
    <xf numFmtId="0" fontId="22" fillId="35" borderId="10" xfId="0" applyFont="1" applyFill="1" applyBorder="1" applyAlignment="1">
      <alignment horizontal="right"/>
    </xf>
    <xf numFmtId="43" fontId="22" fillId="35" borderId="15" xfId="1" applyFont="1" applyFill="1" applyBorder="1"/>
    <xf numFmtId="10" fontId="22" fillId="35" borderId="15" xfId="2" applyNumberFormat="1" applyFont="1" applyFill="1" applyBorder="1"/>
    <xf numFmtId="17" fontId="20" fillId="33" borderId="14" xfId="0" applyNumberFormat="1" applyFont="1" applyFill="1" applyBorder="1" applyAlignment="1">
      <alignment horizontal="center" vertical="center"/>
    </xf>
    <xf numFmtId="164" fontId="19" fillId="36" borderId="14" xfId="1" applyNumberFormat="1" applyFont="1" applyFill="1" applyBorder="1" applyAlignment="1">
      <alignment horizontal="center" vertical="center"/>
    </xf>
    <xf numFmtId="43" fontId="18" fillId="34" borderId="14" xfId="0" applyNumberFormat="1" applyFont="1" applyFill="1" applyBorder="1" applyAlignment="1">
      <alignment horizontal="center" vertical="center"/>
    </xf>
    <xf numFmtId="43" fontId="18" fillId="34" borderId="14" xfId="1" applyFont="1" applyFill="1" applyBorder="1" applyAlignment="1">
      <alignment vertical="center"/>
    </xf>
    <xf numFmtId="43" fontId="18" fillId="34" borderId="14" xfId="2" applyNumberFormat="1" applyFont="1" applyFill="1" applyBorder="1" applyAlignment="1">
      <alignment horizontal="center" vertical="center"/>
    </xf>
    <xf numFmtId="0" fontId="23" fillId="35" borderId="15" xfId="0" applyFont="1" applyFill="1" applyBorder="1" applyAlignment="1">
      <alignment horizontal="center"/>
    </xf>
    <xf numFmtId="0" fontId="22" fillId="35" borderId="15" xfId="0" applyFont="1" applyFill="1" applyBorder="1" applyAlignment="1">
      <alignment horizontal="right"/>
    </xf>
    <xf numFmtId="166" fontId="22" fillId="35" borderId="15" xfId="1" applyNumberFormat="1" applyFont="1" applyFill="1" applyBorder="1"/>
    <xf numFmtId="0" fontId="23" fillId="35" borderId="16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right"/>
    </xf>
    <xf numFmtId="43" fontId="22" fillId="35" borderId="16" xfId="1" applyFont="1" applyFill="1" applyBorder="1" applyAlignment="1">
      <alignment horizontal="center"/>
    </xf>
    <xf numFmtId="0" fontId="18" fillId="0" borderId="17" xfId="0" applyFont="1" applyBorder="1"/>
    <xf numFmtId="10" fontId="18" fillId="0" borderId="0" xfId="2" applyNumberFormat="1" applyFont="1"/>
    <xf numFmtId="0" fontId="19" fillId="0" borderId="0" xfId="0" applyFont="1" applyAlignment="1">
      <alignment horizontal="center"/>
    </xf>
    <xf numFmtId="43" fontId="19" fillId="0" borderId="0" xfId="0" applyNumberFormat="1" applyFont="1"/>
    <xf numFmtId="10" fontId="19" fillId="0" borderId="0" xfId="2" applyNumberFormat="1" applyFont="1"/>
    <xf numFmtId="0" fontId="22" fillId="35" borderId="18" xfId="0" applyFont="1" applyFill="1" applyBorder="1" applyAlignment="1">
      <alignment horizontal="center"/>
    </xf>
    <xf numFmtId="43" fontId="22" fillId="35" borderId="15" xfId="1" applyFont="1" applyFill="1" applyBorder="1" applyAlignment="1"/>
    <xf numFmtId="43" fontId="22" fillId="35" borderId="15" xfId="1" applyFont="1" applyFill="1" applyBorder="1" applyAlignment="1">
      <alignment horizontal="center"/>
    </xf>
    <xf numFmtId="43" fontId="22" fillId="0" borderId="17" xfId="0" applyNumberFormat="1" applyFont="1" applyBorder="1"/>
    <xf numFmtId="43" fontId="23" fillId="0" borderId="0" xfId="0" applyNumberFormat="1" applyFont="1" applyBorder="1"/>
    <xf numFmtId="43" fontId="23" fillId="0" borderId="16" xfId="0" applyNumberFormat="1" applyFont="1" applyBorder="1" applyAlignment="1">
      <alignment horizontal="center"/>
    </xf>
    <xf numFmtId="43" fontId="18" fillId="0" borderId="0" xfId="0" applyNumberFormat="1" applyFont="1" applyBorder="1"/>
    <xf numFmtId="9" fontId="22" fillId="35" borderId="14" xfId="2" applyFont="1" applyFill="1" applyBorder="1" applyAlignment="1">
      <alignment horizontal="center" vertical="center"/>
    </xf>
    <xf numFmtId="169" fontId="20" fillId="33" borderId="19" xfId="0" applyNumberFormat="1" applyFont="1" applyFill="1" applyBorder="1" applyAlignment="1"/>
    <xf numFmtId="169" fontId="20" fillId="33" borderId="15" xfId="0" applyNumberFormat="1" applyFont="1" applyFill="1" applyBorder="1" applyAlignment="1"/>
    <xf numFmtId="169" fontId="20" fillId="33" borderId="14" xfId="0" applyNumberFormat="1" applyFont="1" applyFill="1" applyBorder="1" applyAlignment="1"/>
    <xf numFmtId="9" fontId="20" fillId="33" borderId="14" xfId="2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 wrapText="1"/>
    </xf>
    <xf numFmtId="169" fontId="18" fillId="34" borderId="14" xfId="44" applyNumberFormat="1" applyFont="1" applyFill="1" applyBorder="1"/>
    <xf numFmtId="10" fontId="18" fillId="34" borderId="14" xfId="2" applyNumberFormat="1" applyFont="1" applyFill="1" applyBorder="1" applyAlignment="1">
      <alignment horizontal="center"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2" xfId="0" applyFont="1" applyFill="1" applyBorder="1" applyAlignment="1">
      <alignment horizontal="center" vertical="center"/>
    </xf>
    <xf numFmtId="0" fontId="20" fillId="33" borderId="21" xfId="0" applyFont="1" applyFill="1" applyBorder="1" applyAlignment="1">
      <alignment horizontal="center" vertical="center"/>
    </xf>
    <xf numFmtId="0" fontId="22" fillId="35" borderId="19" xfId="0" applyFont="1" applyFill="1" applyBorder="1"/>
    <xf numFmtId="168" fontId="22" fillId="35" borderId="12" xfId="1" applyNumberFormat="1" applyFont="1" applyFill="1" applyBorder="1" applyAlignment="1">
      <alignment horizontal="center" vertical="center"/>
    </xf>
    <xf numFmtId="0" fontId="20" fillId="33" borderId="0" xfId="0" applyFont="1" applyFill="1" applyAlignment="1">
      <alignment horizontal="center"/>
    </xf>
    <xf numFmtId="168" fontId="20" fillId="33" borderId="0" xfId="1" applyNumberFormat="1" applyFont="1" applyFill="1" applyAlignment="1">
      <alignment horizontal="center"/>
    </xf>
    <xf numFmtId="1" fontId="22" fillId="35" borderId="19" xfId="2" applyNumberFormat="1" applyFont="1" applyFill="1" applyBorder="1" applyAlignment="1">
      <alignment horizontal="center" vertical="center"/>
    </xf>
    <xf numFmtId="0" fontId="20" fillId="33" borderId="23" xfId="0" applyFont="1" applyFill="1" applyBorder="1"/>
    <xf numFmtId="0" fontId="20" fillId="33" borderId="27" xfId="0" applyFont="1" applyFill="1" applyBorder="1"/>
    <xf numFmtId="0" fontId="20" fillId="33" borderId="28" xfId="0" applyFont="1" applyFill="1" applyBorder="1"/>
    <xf numFmtId="0" fontId="20" fillId="38" borderId="0" xfId="0" applyFont="1" applyFill="1"/>
    <xf numFmtId="0" fontId="18" fillId="0" borderId="0" xfId="0" applyFont="1" applyFill="1"/>
    <xf numFmtId="0" fontId="20" fillId="0" borderId="0" xfId="0" applyFont="1" applyFill="1"/>
    <xf numFmtId="9" fontId="22" fillId="0" borderId="0" xfId="2" applyFont="1" applyFill="1" applyBorder="1" applyAlignment="1">
      <alignment horizontal="center" vertical="center"/>
    </xf>
    <xf numFmtId="168" fontId="22" fillId="0" borderId="0" xfId="1" applyNumberFormat="1" applyFont="1" applyFill="1" applyBorder="1" applyAlignment="1">
      <alignment horizontal="center" vertical="center"/>
    </xf>
    <xf numFmtId="174" fontId="22" fillId="35" borderId="14" xfId="1" applyNumberFormat="1" applyFont="1" applyFill="1" applyBorder="1" applyAlignment="1">
      <alignment horizontal="center" vertical="center"/>
    </xf>
    <xf numFmtId="167" fontId="20" fillId="33" borderId="13" xfId="1" applyNumberFormat="1" applyFont="1" applyFill="1" applyBorder="1" applyAlignment="1"/>
    <xf numFmtId="0" fontId="20" fillId="33" borderId="10" xfId="0" applyFont="1" applyFill="1" applyBorder="1" applyAlignment="1"/>
    <xf numFmtId="0" fontId="20" fillId="33" borderId="10" xfId="0" applyFont="1" applyFill="1" applyBorder="1" applyAlignment="1">
      <alignment horizontal="right" wrapText="1"/>
    </xf>
    <xf numFmtId="0" fontId="20" fillId="33" borderId="24" xfId="0" applyFont="1" applyFill="1" applyBorder="1" applyAlignment="1">
      <alignment horizontal="right" wrapText="1"/>
    </xf>
    <xf numFmtId="0" fontId="20" fillId="33" borderId="10" xfId="0" applyFont="1" applyFill="1" applyBorder="1" applyAlignment="1">
      <alignment horizontal="right"/>
    </xf>
    <xf numFmtId="0" fontId="20" fillId="33" borderId="10" xfId="0" applyFont="1" applyFill="1" applyBorder="1" applyAlignment="1">
      <alignment horizontal="left"/>
    </xf>
    <xf numFmtId="0" fontId="20" fillId="33" borderId="26" xfId="0" applyFont="1" applyFill="1" applyBorder="1" applyAlignment="1">
      <alignment horizontal="left"/>
    </xf>
    <xf numFmtId="1" fontId="22" fillId="35" borderId="25" xfId="2" applyNumberFormat="1" applyFont="1" applyFill="1" applyBorder="1" applyAlignment="1">
      <alignment horizontal="center" vertical="center"/>
    </xf>
    <xf numFmtId="14" fontId="22" fillId="35" borderId="25" xfId="2" applyNumberFormat="1" applyFont="1" applyFill="1" applyBorder="1" applyAlignment="1">
      <alignment horizontal="center" vertical="center"/>
    </xf>
    <xf numFmtId="3" fontId="22" fillId="35" borderId="25" xfId="2" applyNumberFormat="1" applyFont="1" applyFill="1" applyBorder="1" applyAlignment="1">
      <alignment horizontal="center" vertical="center"/>
    </xf>
    <xf numFmtId="10" fontId="22" fillId="35" borderId="25" xfId="2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vertical="center"/>
    </xf>
    <xf numFmtId="14" fontId="22" fillId="35" borderId="19" xfId="2" applyNumberFormat="1" applyFont="1" applyFill="1" applyBorder="1" applyAlignment="1">
      <alignment horizontal="center" vertical="center"/>
    </xf>
    <xf numFmtId="0" fontId="20" fillId="33" borderId="19" xfId="0" applyFont="1" applyFill="1" applyBorder="1" applyAlignment="1"/>
    <xf numFmtId="0" fontId="20" fillId="33" borderId="15" xfId="0" applyFont="1" applyFill="1" applyBorder="1" applyAlignment="1"/>
    <xf numFmtId="0" fontId="19" fillId="0" borderId="29" xfId="0" applyFont="1" applyBorder="1" applyAlignment="1">
      <alignment vertical="top"/>
    </xf>
    <xf numFmtId="0" fontId="18" fillId="0" borderId="0" xfId="0" applyFont="1" applyAlignment="1">
      <alignment vertical="top"/>
    </xf>
    <xf numFmtId="0" fontId="18" fillId="0" borderId="29" xfId="0" applyFont="1" applyBorder="1" applyAlignment="1">
      <alignment vertical="top"/>
    </xf>
    <xf numFmtId="4" fontId="28" fillId="0" borderId="29" xfId="0" applyNumberFormat="1" applyFont="1" applyBorder="1" applyAlignment="1">
      <alignment vertical="top"/>
    </xf>
    <xf numFmtId="10" fontId="18" fillId="0" borderId="0" xfId="0" applyNumberFormat="1" applyFont="1" applyAlignment="1">
      <alignment vertical="top"/>
    </xf>
    <xf numFmtId="10" fontId="29" fillId="0" borderId="0" xfId="0" applyNumberFormat="1" applyFont="1" applyAlignment="1">
      <alignment vertical="top"/>
    </xf>
    <xf numFmtId="0" fontId="18" fillId="0" borderId="29" xfId="0" quotePrefix="1" applyFont="1" applyBorder="1" applyAlignment="1">
      <alignment vertical="top"/>
    </xf>
    <xf numFmtId="0" fontId="18" fillId="0" borderId="30" xfId="0" applyFont="1" applyBorder="1" applyAlignment="1">
      <alignment vertical="top"/>
    </xf>
    <xf numFmtId="0" fontId="18" fillId="0" borderId="31" xfId="0" applyFont="1" applyBorder="1"/>
    <xf numFmtId="0" fontId="18" fillId="0" borderId="32" xfId="0" applyFont="1" applyBorder="1"/>
    <xf numFmtId="17" fontId="18" fillId="0" borderId="33" xfId="0" applyNumberFormat="1" applyFont="1" applyBorder="1" applyAlignment="1">
      <alignment vertical="top"/>
    </xf>
    <xf numFmtId="4" fontId="18" fillId="0" borderId="0" xfId="0" applyNumberFormat="1" applyFont="1" applyBorder="1"/>
    <xf numFmtId="0" fontId="18" fillId="0" borderId="34" xfId="0" applyFont="1" applyBorder="1"/>
    <xf numFmtId="17" fontId="18" fillId="0" borderId="35" xfId="0" applyNumberFormat="1" applyFont="1" applyBorder="1" applyAlignment="1">
      <alignment vertical="top"/>
    </xf>
    <xf numFmtId="4" fontId="18" fillId="0" borderId="36" xfId="0" applyNumberFormat="1" applyFont="1" applyBorder="1"/>
    <xf numFmtId="0" fontId="18" fillId="0" borderId="36" xfId="0" applyFont="1" applyBorder="1"/>
    <xf numFmtId="0" fontId="18" fillId="0" borderId="37" xfId="0" applyFont="1" applyBorder="1"/>
    <xf numFmtId="0" fontId="18" fillId="0" borderId="30" xfId="0" applyFont="1" applyBorder="1"/>
    <xf numFmtId="17" fontId="18" fillId="0" borderId="33" xfId="0" applyNumberFormat="1" applyFont="1" applyBorder="1"/>
    <xf numFmtId="4" fontId="28" fillId="0" borderId="0" xfId="0" applyNumberFormat="1" applyFont="1" applyBorder="1" applyAlignment="1">
      <alignment vertical="top"/>
    </xf>
    <xf numFmtId="4" fontId="28" fillId="0" borderId="36" xfId="0" applyNumberFormat="1" applyFont="1" applyBorder="1" applyAlignment="1">
      <alignment vertical="top"/>
    </xf>
    <xf numFmtId="0" fontId="19" fillId="0" borderId="39" xfId="0" applyFont="1" applyBorder="1"/>
    <xf numFmtId="10" fontId="19" fillId="0" borderId="40" xfId="2" applyNumberFormat="1" applyFont="1" applyBorder="1"/>
    <xf numFmtId="10" fontId="18" fillId="34" borderId="14" xfId="2" applyNumberFormat="1" applyFont="1" applyFill="1" applyBorder="1"/>
    <xf numFmtId="0" fontId="20" fillId="33" borderId="20" xfId="0" applyFont="1" applyFill="1" applyBorder="1" applyAlignment="1">
      <alignment horizontal="right" wrapText="1"/>
    </xf>
    <xf numFmtId="10" fontId="22" fillId="35" borderId="14" xfId="2" applyNumberFormat="1" applyFont="1" applyFill="1" applyBorder="1" applyAlignment="1">
      <alignment horizontal="center" vertical="center"/>
    </xf>
    <xf numFmtId="0" fontId="20" fillId="33" borderId="20" xfId="0" applyFont="1" applyFill="1" applyBorder="1" applyAlignment="1">
      <alignment horizontal="center"/>
    </xf>
    <xf numFmtId="0" fontId="20" fillId="33" borderId="14" xfId="0" applyFont="1" applyFill="1" applyBorder="1" applyAlignment="1">
      <alignment horizontal="center" wrapText="1"/>
    </xf>
    <xf numFmtId="0" fontId="22" fillId="35" borderId="14" xfId="2" applyNumberFormat="1" applyFont="1" applyFill="1" applyBorder="1" applyAlignment="1">
      <alignment horizontal="center" vertical="center"/>
    </xf>
    <xf numFmtId="168" fontId="19" fillId="0" borderId="0" xfId="0" applyNumberFormat="1" applyFont="1" applyFill="1"/>
    <xf numFmtId="0" fontId="30" fillId="0" borderId="0" xfId="0" applyFont="1"/>
    <xf numFmtId="168" fontId="30" fillId="0" borderId="0" xfId="0" applyNumberFormat="1" applyFont="1"/>
    <xf numFmtId="168" fontId="18" fillId="0" borderId="36" xfId="0" applyNumberFormat="1" applyFont="1" applyBorder="1"/>
    <xf numFmtId="10" fontId="18" fillId="0" borderId="41" xfId="2" applyNumberFormat="1" applyFont="1" applyFill="1" applyBorder="1" applyAlignment="1">
      <alignment horizontal="center"/>
    </xf>
    <xf numFmtId="168" fontId="18" fillId="0" borderId="0" xfId="0" applyNumberFormat="1" applyFont="1"/>
    <xf numFmtId="168" fontId="18" fillId="0" borderId="0" xfId="0" applyNumberFormat="1" applyFont="1" applyFill="1"/>
    <xf numFmtId="168" fontId="19" fillId="0" borderId="36" xfId="0" applyNumberFormat="1" applyFont="1" applyFill="1" applyBorder="1"/>
    <xf numFmtId="43" fontId="18" fillId="0" borderId="0" xfId="0" applyNumberFormat="1" applyFont="1"/>
    <xf numFmtId="0" fontId="32" fillId="0" borderId="0" xfId="0" applyFont="1"/>
    <xf numFmtId="3" fontId="20" fillId="33" borderId="14" xfId="0" applyNumberFormat="1" applyFont="1" applyFill="1" applyBorder="1" applyAlignment="1">
      <alignment horizontal="center"/>
    </xf>
    <xf numFmtId="0" fontId="33" fillId="35" borderId="14" xfId="0" applyFont="1" applyFill="1" applyBorder="1" applyAlignment="1"/>
    <xf numFmtId="14" fontId="19" fillId="39" borderId="0" xfId="0" applyNumberFormat="1" applyFont="1" applyFill="1" applyAlignment="1">
      <alignment horizontal="center"/>
    </xf>
    <xf numFmtId="17" fontId="18" fillId="34" borderId="43" xfId="0" applyNumberFormat="1" applyFont="1" applyFill="1" applyBorder="1" applyAlignment="1"/>
    <xf numFmtId="17" fontId="18" fillId="34" borderId="44" xfId="0" applyNumberFormat="1" applyFont="1" applyFill="1" applyBorder="1" applyAlignment="1"/>
    <xf numFmtId="0" fontId="20" fillId="33" borderId="11" xfId="0" applyFont="1" applyFill="1" applyBorder="1" applyAlignment="1">
      <alignment horizontal="center" vertical="center"/>
    </xf>
    <xf numFmtId="4" fontId="18" fillId="0" borderId="0" xfId="0" applyNumberFormat="1" applyFont="1" applyFill="1" applyBorder="1"/>
    <xf numFmtId="4" fontId="18" fillId="40" borderId="36" xfId="0" applyNumberFormat="1" applyFont="1" applyFill="1" applyBorder="1"/>
    <xf numFmtId="17" fontId="18" fillId="0" borderId="0" xfId="0" applyNumberFormat="1" applyFont="1" applyBorder="1" applyAlignment="1">
      <alignment vertical="top"/>
    </xf>
    <xf numFmtId="0" fontId="19" fillId="0" borderId="38" xfId="0" applyFont="1" applyBorder="1" applyAlignment="1">
      <alignment vertical="top"/>
    </xf>
    <xf numFmtId="10" fontId="35" fillId="0" borderId="40" xfId="2" applyNumberFormat="1" applyFont="1" applyBorder="1"/>
    <xf numFmtId="166" fontId="18" fillId="0" borderId="0" xfId="0" applyNumberFormat="1" applyFont="1" applyAlignment="1">
      <alignment horizontal="left" vertical="top"/>
    </xf>
    <xf numFmtId="0" fontId="18" fillId="0" borderId="31" xfId="0" quotePrefix="1" applyFont="1" applyBorder="1" applyAlignment="1">
      <alignment vertical="top"/>
    </xf>
    <xf numFmtId="4" fontId="28" fillId="0" borderId="31" xfId="0" applyNumberFormat="1" applyFont="1" applyBorder="1" applyAlignment="1">
      <alignment vertical="top"/>
    </xf>
    <xf numFmtId="0" fontId="22" fillId="35" borderId="20" xfId="0" applyFont="1" applyFill="1" applyBorder="1"/>
    <xf numFmtId="0" fontId="20" fillId="33" borderId="19" xfId="0" applyFont="1" applyFill="1" applyBorder="1" applyAlignment="1">
      <alignment horizontal="left"/>
    </xf>
    <xf numFmtId="0" fontId="20" fillId="33" borderId="15" xfId="0" applyFont="1" applyFill="1" applyBorder="1" applyAlignment="1">
      <alignment horizontal="left"/>
    </xf>
    <xf numFmtId="0" fontId="20" fillId="33" borderId="14" xfId="0" applyFont="1" applyFill="1" applyBorder="1" applyAlignment="1">
      <alignment horizontal="center"/>
    </xf>
    <xf numFmtId="10" fontId="20" fillId="33" borderId="19" xfId="2" applyNumberFormat="1" applyFont="1" applyFill="1" applyBorder="1" applyAlignment="1"/>
    <xf numFmtId="169" fontId="20" fillId="33" borderId="20" xfId="0" applyNumberFormat="1" applyFont="1" applyFill="1" applyBorder="1" applyAlignment="1"/>
    <xf numFmtId="0" fontId="20" fillId="33" borderId="14" xfId="0" applyFont="1" applyFill="1" applyBorder="1" applyAlignment="1">
      <alignment horizontal="left"/>
    </xf>
    <xf numFmtId="0" fontId="33" fillId="35" borderId="19" xfId="0" applyFont="1" applyFill="1" applyBorder="1" applyAlignment="1"/>
    <xf numFmtId="0" fontId="33" fillId="35" borderId="20" xfId="0" applyFont="1" applyFill="1" applyBorder="1" applyAlignment="1"/>
    <xf numFmtId="10" fontId="18" fillId="0" borderId="0" xfId="2" applyNumberFormat="1" applyFont="1" applyFill="1"/>
    <xf numFmtId="0" fontId="18" fillId="0" borderId="0" xfId="0" applyFont="1" applyAlignment="1">
      <alignment horizontal="left" wrapText="1"/>
    </xf>
    <xf numFmtId="43" fontId="18" fillId="0" borderId="0" xfId="0" applyNumberFormat="1" applyFont="1" applyAlignment="1">
      <alignment horizontal="center"/>
    </xf>
    <xf numFmtId="43" fontId="18" fillId="0" borderId="45" xfId="0" applyNumberFormat="1" applyFont="1" applyBorder="1" applyAlignment="1">
      <alignment horizontal="center"/>
    </xf>
    <xf numFmtId="0" fontId="18" fillId="34" borderId="19" xfId="0" applyFont="1" applyFill="1" applyBorder="1" applyAlignment="1">
      <alignment horizontal="center"/>
    </xf>
    <xf numFmtId="0" fontId="18" fillId="34" borderId="20" xfId="0" applyFont="1" applyFill="1" applyBorder="1" applyAlignment="1">
      <alignment horizontal="center"/>
    </xf>
    <xf numFmtId="0" fontId="20" fillId="33" borderId="14" xfId="0" applyFont="1" applyFill="1" applyBorder="1" applyAlignment="1">
      <alignment horizontal="center" vertical="center"/>
    </xf>
    <xf numFmtId="0" fontId="20" fillId="33" borderId="0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0" fillId="33" borderId="14" xfId="0" applyFont="1" applyFill="1" applyBorder="1" applyAlignment="1">
      <alignment horizontal="center" vertical="center" wrapText="1"/>
    </xf>
    <xf numFmtId="3" fontId="20" fillId="33" borderId="14" xfId="0" applyNumberFormat="1" applyFont="1" applyFill="1" applyBorder="1" applyAlignment="1">
      <alignment horizontal="center"/>
    </xf>
    <xf numFmtId="168" fontId="32" fillId="0" borderId="31" xfId="0" applyNumberFormat="1" applyFont="1" applyBorder="1" applyAlignment="1">
      <alignment horizontal="center"/>
    </xf>
    <xf numFmtId="168" fontId="31" fillId="0" borderId="0" xfId="0" applyNumberFormat="1" applyFont="1" applyFill="1" applyAlignment="1">
      <alignment horizontal="center"/>
    </xf>
    <xf numFmtId="168" fontId="32" fillId="0" borderId="0" xfId="0" applyNumberFormat="1" applyFont="1" applyBorder="1" applyAlignment="1">
      <alignment horizontal="center"/>
    </xf>
    <xf numFmtId="168" fontId="32" fillId="0" borderId="42" xfId="0" applyNumberFormat="1" applyFont="1" applyBorder="1" applyAlignment="1">
      <alignment horizontal="center"/>
    </xf>
    <xf numFmtId="168" fontId="32" fillId="0" borderId="0" xfId="0" applyNumberFormat="1" applyFont="1" applyFill="1" applyAlignment="1">
      <alignment horizontal="center"/>
    </xf>
    <xf numFmtId="168" fontId="31" fillId="0" borderId="0" xfId="0" applyNumberFormat="1" applyFont="1" applyFill="1" applyBorder="1" applyAlignment="1">
      <alignment horizontal="center"/>
    </xf>
    <xf numFmtId="168" fontId="31" fillId="0" borderId="42" xfId="0" applyNumberFormat="1" applyFont="1" applyFill="1" applyBorder="1" applyAlignment="1">
      <alignment horizontal="center"/>
    </xf>
    <xf numFmtId="22" fontId="0" fillId="0" borderId="0" xfId="0" applyNumberFormat="1"/>
  </cellXfs>
  <cellStyles count="117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8" builtinId="26" customBuiltin="1"/>
    <cellStyle name="Cálculo" xfId="13" builtinId="22" customBuiltin="1"/>
    <cellStyle name="Célula de Verificação" xfId="15" builtinId="23" customBuiltin="1"/>
    <cellStyle name="Célula Vinculada" xfId="14" builtinId="24" customBuiltin="1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1" builtinId="20" customBuiltin="1"/>
    <cellStyle name="Hiperlink 2" xfId="45"/>
    <cellStyle name="Incorreto" xfId="9" builtinId="27" customBuiltin="1"/>
    <cellStyle name="Moeda 2" xfId="46"/>
    <cellStyle name="Moeda 2 2" xfId="47"/>
    <cellStyle name="Moeda 3" xfId="48"/>
    <cellStyle name="Moeda 3 2" xfId="49"/>
    <cellStyle name="Moeda 4" xfId="50"/>
    <cellStyle name="Neutra" xfId="10" builtinId="28" customBuiltin="1"/>
    <cellStyle name="Normal" xfId="0" builtinId="0"/>
    <cellStyle name="Normal 2" xfId="51"/>
    <cellStyle name="Normal 2 2" xfId="52"/>
    <cellStyle name="Normal 2 2 2" xfId="53"/>
    <cellStyle name="Normal 2 3" xfId="54"/>
    <cellStyle name="Normal 2 3 2" xfId="55"/>
    <cellStyle name="Normal 2 3 3" xfId="56"/>
    <cellStyle name="Normal 2 4" xfId="57"/>
    <cellStyle name="Normal 2 5" xfId="58"/>
    <cellStyle name="Normal 3" xfId="59"/>
    <cellStyle name="Normal 3 2" xfId="60"/>
    <cellStyle name="Normal 3 2 2" xfId="61"/>
    <cellStyle name="Normal 3 3" xfId="62"/>
    <cellStyle name="Normal 3 4" xfId="63"/>
    <cellStyle name="Normal 4" xfId="64"/>
    <cellStyle name="Normal 5" xfId="65"/>
    <cellStyle name="Normal 6" xfId="66"/>
    <cellStyle name="Normal 7" xfId="67"/>
    <cellStyle name="Normal 7 2" xfId="68"/>
    <cellStyle name="Nota" xfId="17" builtinId="10" customBuiltin="1"/>
    <cellStyle name="Nota 2" xfId="69"/>
    <cellStyle name="Nota 3" xfId="70"/>
    <cellStyle name="Porcentagem" xfId="2" builtinId="5"/>
    <cellStyle name="Porcentagem 2" xfId="71"/>
    <cellStyle name="Porcentagem 2 2" xfId="72"/>
    <cellStyle name="Porcentagem 3" xfId="73"/>
    <cellStyle name="Porcentagem 4" xfId="74"/>
    <cellStyle name="Saída" xfId="12" builtinId="21" customBuiltin="1"/>
    <cellStyle name="Separador de milhares 2" xfId="75"/>
    <cellStyle name="Separador de milhares 2 2" xfId="76"/>
    <cellStyle name="Separador de milhares 2 2 2" xfId="77"/>
    <cellStyle name="Separador de milhares 2 2 3" xfId="78"/>
    <cellStyle name="Separador de milhares 2 3" xfId="79"/>
    <cellStyle name="Separador de milhares 2 3 2" xfId="80"/>
    <cellStyle name="Separador de milhares 2 4" xfId="81"/>
    <cellStyle name="Separador de milhares 3" xfId="82"/>
    <cellStyle name="Separador de milhares 3 2" xfId="83"/>
    <cellStyle name="Separador de milhares 3 2 2" xfId="84"/>
    <cellStyle name="Separador de milhares 3 3" xfId="85"/>
    <cellStyle name="Separador de milhares 3 3 2" xfId="86"/>
    <cellStyle name="Separador de milhares 3 4" xfId="87"/>
    <cellStyle name="Separador de milhares 4" xfId="88"/>
    <cellStyle name="Separador de milhares 4 2" xfId="89"/>
    <cellStyle name="Texto de Aviso" xfId="16" builtinId="11" customBuiltin="1"/>
    <cellStyle name="Texto Explicativo" xfId="18" builtinId="53" customBuiltin="1"/>
    <cellStyle name="Título" xfId="3" builtinId="15" customBuiltin="1"/>
    <cellStyle name="Título 1" xfId="4" builtinId="16" customBuiltin="1"/>
    <cellStyle name="Título 2" xfId="5" builtinId="17" customBuiltin="1"/>
    <cellStyle name="Título 3" xfId="6" builtinId="18" customBuiltin="1"/>
    <cellStyle name="Título 4" xfId="7" builtinId="19" customBuiltin="1"/>
    <cellStyle name="Título 5" xfId="90"/>
    <cellStyle name="Total" xfId="19" builtinId="25" customBuiltin="1"/>
    <cellStyle name="Vírgula" xfId="1" builtinId="3"/>
    <cellStyle name="Vírgula 2" xfId="44"/>
    <cellStyle name="Vírgula 2 2" xfId="91"/>
    <cellStyle name="Vírgula 2 2 2" xfId="92"/>
    <cellStyle name="Vírgula 2 2 3" xfId="93"/>
    <cellStyle name="Vírgula 2 3" xfId="94"/>
    <cellStyle name="Vírgula 2 3 2" xfId="95"/>
    <cellStyle name="Vírgula 2 3 3" xfId="96"/>
    <cellStyle name="Vírgula 2 3 4" xfId="97"/>
    <cellStyle name="Vírgula 2 3 5" xfId="98"/>
    <cellStyle name="Vírgula 2 4" xfId="99"/>
    <cellStyle name="Vírgula 2 5" xfId="100"/>
    <cellStyle name="Vírgula 3" xfId="101"/>
    <cellStyle name="Vírgula 3 2" xfId="102"/>
    <cellStyle name="Vírgula 4" xfId="103"/>
    <cellStyle name="Vírgula 4 2" xfId="104"/>
    <cellStyle name="Vírgula 4 3" xfId="105"/>
    <cellStyle name="Vírgula 4 4" xfId="106"/>
    <cellStyle name="Vírgula 5" xfId="107"/>
    <cellStyle name="Vírgula 5 2" xfId="108"/>
    <cellStyle name="Vírgula 5 3" xfId="109"/>
    <cellStyle name="Vírgula 6" xfId="110"/>
    <cellStyle name="Vírgula 6 2" xfId="111"/>
    <cellStyle name="Vírgula 7" xfId="112"/>
    <cellStyle name="Vírgula 7 2" xfId="113"/>
    <cellStyle name="Vírgula 8" xfId="114"/>
    <cellStyle name="Vírgula 8 2" xfId="115"/>
    <cellStyle name="Vírgula 9" xfId="116"/>
  </cellStyles>
  <dxfs count="3">
    <dxf>
      <numFmt numFmtId="27" formatCode="dd/mm/yyyy\ hh:mm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BR" sz="1200" b="1" i="0" baseline="0">
                <a:effectLst/>
              </a:rPr>
              <a:t>Evolução da Subordinada - </a:t>
            </a:r>
            <a:r>
              <a:rPr lang="pt-BR" sz="1200" b="1" i="0" u="sng" baseline="0">
                <a:solidFill>
                  <a:schemeClr val="accent1">
                    <a:lumMod val="75000"/>
                  </a:schemeClr>
                </a:solidFill>
                <a:effectLst/>
              </a:rPr>
              <a:t>Fidc NP</a:t>
            </a:r>
            <a:endParaRPr lang="pt-BR" sz="1200" u="sng">
              <a:solidFill>
                <a:schemeClr val="accent1">
                  <a:lumMod val="75000"/>
                </a:schemeClr>
              </a:solidFill>
              <a:effectLst/>
            </a:endParaRPr>
          </a:p>
        </c:rich>
      </c:tx>
      <c:layout/>
      <c:overlay val="0"/>
    </c:title>
    <c:autoTitleDeleted val="0"/>
    <c:pivotFmts>
      <c:pivotFmt>
        <c:idx val="0"/>
        <c:spPr>
          <a:ln>
            <a:solidFill>
              <a:schemeClr val="tx2">
                <a:lumMod val="50000"/>
              </a:schemeClr>
            </a:solidFill>
          </a:ln>
        </c:spPr>
        <c:marker>
          <c:symbol val="circle"/>
          <c:size val="4"/>
          <c:spPr>
            <a:solidFill>
              <a:schemeClr val="tx2">
                <a:lumMod val="50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</c:spPr>
        </c:marker>
      </c:pivotFmt>
      <c:pivotFmt>
        <c:idx val="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3"/>
        <c:spPr>
          <a:ln>
            <a:solidFill>
              <a:schemeClr val="tx2">
                <a:lumMod val="50000"/>
              </a:schemeClr>
            </a:solidFill>
          </a:ln>
        </c:spPr>
        <c:marker>
          <c:symbol val="circle"/>
          <c:size val="4"/>
          <c:spPr>
            <a:solidFill>
              <a:schemeClr val="tx2">
                <a:lumMod val="50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</c:spPr>
        </c:marker>
      </c:pivotFmt>
    </c:pivotFmts>
    <c:plotArea>
      <c:layout>
        <c:manualLayout>
          <c:layoutTarget val="inner"/>
          <c:xMode val="edge"/>
          <c:yMode val="edge"/>
          <c:x val="0.12107913031141378"/>
          <c:y val="0.1429724409448819"/>
          <c:w val="0.74120327019933319"/>
          <c:h val="0.6077167151791576"/>
        </c:manualLayout>
      </c:layout>
      <c:barChart>
        <c:barDir val="col"/>
        <c:grouping val="clustered"/>
        <c:varyColors val="0"/>
        <c:ser>
          <c:idx val="0"/>
          <c:order val="0"/>
          <c:tx>
            <c:v>Patr..</c:v>
          </c:tx>
          <c:spPr>
            <a:ln>
              <a:noFill/>
            </a:ln>
          </c:spPr>
          <c:invertIfNegative val="0"/>
          <c:cat>
            <c:strLit>
              <c:ptCount val="14"/>
              <c:pt idx="0">
                <c:v>01/04/15</c:v>
              </c:pt>
              <c:pt idx="1">
                <c:v>02/04/15</c:v>
              </c:pt>
              <c:pt idx="2">
                <c:v>06/04/15</c:v>
              </c:pt>
              <c:pt idx="3">
                <c:v>07/04/15</c:v>
              </c:pt>
              <c:pt idx="4">
                <c:v>08/04/15</c:v>
              </c:pt>
              <c:pt idx="5">
                <c:v>09/04/15</c:v>
              </c:pt>
              <c:pt idx="6">
                <c:v>10/04/15</c:v>
              </c:pt>
              <c:pt idx="7">
                <c:v>13/04/15</c:v>
              </c:pt>
              <c:pt idx="8">
                <c:v>14/04/15</c:v>
              </c:pt>
              <c:pt idx="9">
                <c:v>15/04/15</c:v>
              </c:pt>
              <c:pt idx="10">
                <c:v>16/04/15</c:v>
              </c:pt>
              <c:pt idx="11">
                <c:v>17/04/15</c:v>
              </c:pt>
              <c:pt idx="12">
                <c:v>20/04/15</c:v>
              </c:pt>
              <c:pt idx="13">
                <c:v>22/04/15</c:v>
              </c:pt>
            </c:strLit>
          </c:cat>
          <c:val>
            <c:numLit>
              <c:formatCode>General</c:formatCode>
              <c:ptCount val="14"/>
              <c:pt idx="0">
                <c:v>8339938.5700000003</c:v>
              </c:pt>
              <c:pt idx="1">
                <c:v>8339938.5700000003</c:v>
              </c:pt>
              <c:pt idx="2">
                <c:v>8334656.5999999996</c:v>
              </c:pt>
              <c:pt idx="3">
                <c:v>8404833.4100000001</c:v>
              </c:pt>
              <c:pt idx="4">
                <c:v>8404833.4100000001</c:v>
              </c:pt>
              <c:pt idx="5">
                <c:v>8372386.8700000001</c:v>
              </c:pt>
              <c:pt idx="6">
                <c:v>8448416.2100000009</c:v>
              </c:pt>
              <c:pt idx="7">
                <c:v>8427104.1999999993</c:v>
              </c:pt>
              <c:pt idx="8">
                <c:v>8711184.1500000004</c:v>
              </c:pt>
              <c:pt idx="9">
                <c:v>8698928.5199999996</c:v>
              </c:pt>
              <c:pt idx="10">
                <c:v>8703772.7799999993</c:v>
              </c:pt>
              <c:pt idx="11">
                <c:v>8685992.0800000001</c:v>
              </c:pt>
              <c:pt idx="12">
                <c:v>8685992.0800000001</c:v>
              </c:pt>
              <c:pt idx="13">
                <c:v>8685992.0800000001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2523904"/>
        <c:axId val="77961408"/>
      </c:barChart>
      <c:lineChart>
        <c:grouping val="standard"/>
        <c:varyColors val="0"/>
        <c:ser>
          <c:idx val="1"/>
          <c:order val="1"/>
          <c:tx>
            <c:v>Rendimento.</c:v>
          </c:tx>
          <c:marker>
            <c:symbol val="none"/>
          </c:marker>
          <c:cat>
            <c:strLit>
              <c:ptCount val="14"/>
              <c:pt idx="0">
                <c:v>01/04/15</c:v>
              </c:pt>
              <c:pt idx="1">
                <c:v>02/04/15</c:v>
              </c:pt>
              <c:pt idx="2">
                <c:v>06/04/15</c:v>
              </c:pt>
              <c:pt idx="3">
                <c:v>07/04/15</c:v>
              </c:pt>
              <c:pt idx="4">
                <c:v>08/04/15</c:v>
              </c:pt>
              <c:pt idx="5">
                <c:v>09/04/15</c:v>
              </c:pt>
              <c:pt idx="6">
                <c:v>10/04/15</c:v>
              </c:pt>
              <c:pt idx="7">
                <c:v>13/04/15</c:v>
              </c:pt>
              <c:pt idx="8">
                <c:v>14/04/15</c:v>
              </c:pt>
              <c:pt idx="9">
                <c:v>15/04/15</c:v>
              </c:pt>
              <c:pt idx="10">
                <c:v>16/04/15</c:v>
              </c:pt>
              <c:pt idx="11">
                <c:v>17/04/15</c:v>
              </c:pt>
              <c:pt idx="12">
                <c:v>20/04/15</c:v>
              </c:pt>
              <c:pt idx="13">
                <c:v>22/04/15</c:v>
              </c:pt>
            </c:strLit>
          </c:cat>
          <c:val>
            <c:numLit>
              <c:formatCode>General</c:formatCode>
              <c:ptCount val="14"/>
              <c:pt idx="0">
                <c:v>21532.820000000298</c:v>
              </c:pt>
              <c:pt idx="1">
                <c:v>0</c:v>
              </c:pt>
              <c:pt idx="2">
                <c:v>-5281.9700000006706</c:v>
              </c:pt>
              <c:pt idx="3">
                <c:v>70176.810000000522</c:v>
              </c:pt>
              <c:pt idx="4">
                <c:v>0</c:v>
              </c:pt>
              <c:pt idx="5">
                <c:v>-32446.540000000037</c:v>
              </c:pt>
              <c:pt idx="6">
                <c:v>76029.340000000782</c:v>
              </c:pt>
              <c:pt idx="7">
                <c:v>-21312.010000001639</c:v>
              </c:pt>
              <c:pt idx="8">
                <c:v>284079.95000000112</c:v>
              </c:pt>
              <c:pt idx="9">
                <c:v>-12255.63000000082</c:v>
              </c:pt>
              <c:pt idx="10">
                <c:v>4844.2599999997765</c:v>
              </c:pt>
              <c:pt idx="11">
                <c:v>-17780.699999999255</c:v>
              </c:pt>
              <c:pt idx="12">
                <c:v>0</c:v>
              </c:pt>
              <c:pt idx="13">
                <c:v>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523392"/>
        <c:axId val="77962560"/>
      </c:lineChart>
      <c:catAx>
        <c:axId val="26252339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pt-BR"/>
          </a:p>
        </c:txPr>
        <c:crossAx val="77962560"/>
        <c:crosses val="autoZero"/>
        <c:auto val="1"/>
        <c:lblAlgn val="ctr"/>
        <c:lblOffset val="100"/>
        <c:noMultiLvlLbl val="0"/>
      </c:catAx>
      <c:valAx>
        <c:axId val="779625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prstDash val="sysDot"/>
          </a:ln>
        </c:spPr>
        <c:crossAx val="262523392"/>
        <c:crosses val="autoZero"/>
        <c:crossBetween val="between"/>
        <c:dispUnits>
          <c:builtInUnit val="millions"/>
          <c:dispUnitsLbl>
            <c:layout/>
          </c:dispUnitsLbl>
        </c:dispUnits>
      </c:valAx>
      <c:valAx>
        <c:axId val="7796140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crossAx val="262523904"/>
        <c:crosses val="max"/>
        <c:crossBetween val="between"/>
        <c:dispUnits>
          <c:builtInUnit val="millions"/>
          <c:dispUnitsLbl>
            <c:layout/>
          </c:dispUnitsLbl>
        </c:dispUnits>
      </c:valAx>
      <c:catAx>
        <c:axId val="262523904"/>
        <c:scaling>
          <c:orientation val="minMax"/>
        </c:scaling>
        <c:delete val="1"/>
        <c:axPos val="b"/>
        <c:majorTickMark val="out"/>
        <c:minorTickMark val="none"/>
        <c:tickLblPos val="nextTo"/>
        <c:crossAx val="77961408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33281921685464999"/>
          <c:y val="0.90723150372711581"/>
          <c:w val="0.35740923009623804"/>
          <c:h val="8.9159673219774402E-2"/>
        </c:manualLayout>
      </c:layout>
      <c:overlay val="0"/>
      <c:txPr>
        <a:bodyPr/>
        <a:lstStyle/>
        <a:p>
          <a:pPr>
            <a:defRPr sz="1000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pt-BR" sz="1400" b="1" i="0" baseline="0">
                <a:effectLst/>
              </a:rPr>
              <a:t>Garantias - </a:t>
            </a:r>
            <a:r>
              <a:rPr lang="pt-BR" sz="1400" b="1" i="0" u="sng" baseline="0">
                <a:solidFill>
                  <a:schemeClr val="tx2"/>
                </a:solidFill>
                <a:effectLst/>
              </a:rPr>
              <a:t>Fidc NP</a:t>
            </a:r>
            <a:endParaRPr lang="pt-BR" sz="1400">
              <a:solidFill>
                <a:schemeClr val="tx2"/>
              </a:solidFill>
              <a:effectLst/>
            </a:endParaRPr>
          </a:p>
        </c:rich>
      </c:tx>
      <c:layout/>
      <c:overlay val="0"/>
      <c:spPr>
        <a:solidFill>
          <a:sysClr val="window" lastClr="FFFFFF"/>
        </a:solidFill>
      </c:spPr>
    </c:title>
    <c:autoTitleDeleted val="0"/>
    <c:pivotFmts>
      <c:pivotFmt>
        <c:idx val="0"/>
        <c:spPr>
          <a:solidFill>
            <a:schemeClr val="accent1"/>
          </a:solidFill>
        </c:spPr>
        <c:marker>
          <c:symbol val="none"/>
        </c:marker>
      </c:pivotFmt>
      <c:pivotFmt>
        <c:idx val="1"/>
        <c:spPr>
          <a:ln>
            <a:solidFill>
              <a:schemeClr val="tx2">
                <a:lumMod val="50000"/>
              </a:schemeClr>
            </a:solidFill>
          </a:ln>
        </c:spPr>
        <c:marker>
          <c:symbol val="circle"/>
          <c:size val="4"/>
          <c:spPr>
            <a:solidFill>
              <a:schemeClr val="tx2">
                <a:lumMod val="50000"/>
              </a:schemeClr>
            </a:solidFill>
            <a:ln>
              <a:solidFill>
                <a:schemeClr val="tx2">
                  <a:lumMod val="50000"/>
                </a:schemeClr>
              </a:solidFill>
            </a:ln>
          </c:spPr>
        </c:marker>
      </c:pivotFmt>
      <c:pivotFmt>
        <c:idx val="2"/>
        <c:spPr>
          <a:ln>
            <a:solidFill>
              <a:srgbClr val="9A0000"/>
            </a:solidFill>
          </a:ln>
        </c:spPr>
        <c:marker>
          <c:symbol val="circle"/>
          <c:size val="3"/>
          <c:spPr>
            <a:solidFill>
              <a:srgbClr val="9A0000"/>
            </a:solidFill>
            <a:ln>
              <a:solidFill>
                <a:srgbClr val="9A0000"/>
              </a:solidFill>
            </a:ln>
          </c:spPr>
        </c:marker>
      </c:pivotFmt>
      <c:pivotFmt>
        <c:idx val="3"/>
        <c:spPr>
          <a:ln>
            <a:solidFill>
              <a:schemeClr val="accent3">
                <a:lumMod val="50000"/>
              </a:schemeClr>
            </a:solidFill>
          </a:ln>
        </c:spPr>
        <c:marker>
          <c:symbol val="circle"/>
          <c:size val="3"/>
          <c:spPr>
            <a:solidFill>
              <a:schemeClr val="accent3">
                <a:lumMod val="50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</c:spPr>
        </c:marker>
      </c:pivotFmt>
      <c:pivotFmt>
        <c:idx val="4"/>
        <c:spPr>
          <a:ln>
            <a:solidFill>
              <a:srgbClr val="FF0000"/>
            </a:solidFill>
          </a:ln>
        </c:spPr>
        <c:marker>
          <c:symbol val="circle"/>
          <c:size val="3"/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</c:marker>
      </c:pivotFmt>
      <c:pivotFmt>
        <c:idx val="5"/>
        <c:marker>
          <c:symbol val="circle"/>
          <c:size val="3"/>
        </c:marker>
      </c:pivotFmt>
      <c:pivotFmt>
        <c:idx val="6"/>
        <c:spPr>
          <a:solidFill>
            <a:schemeClr val="accent1"/>
          </a:solidFill>
        </c:spPr>
        <c:marker>
          <c:symbol val="none"/>
        </c:marker>
      </c:pivotFmt>
      <c:pivotFmt>
        <c:idx val="7"/>
        <c:spPr>
          <a:ln>
            <a:solidFill>
              <a:srgbClr val="FF0000"/>
            </a:solidFill>
          </a:ln>
        </c:spPr>
        <c:marker>
          <c:symbol val="circle"/>
          <c:size val="3"/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</c:marker>
      </c:pivotFmt>
      <c:pivotFmt>
        <c:idx val="8"/>
        <c:marker>
          <c:symbol val="circle"/>
          <c:size val="3"/>
        </c:marker>
      </c:pivotFmt>
      <c:pivotFmt>
        <c:idx val="9"/>
        <c:spPr>
          <a:ln>
            <a:solidFill>
              <a:srgbClr val="9A0000"/>
            </a:solidFill>
          </a:ln>
        </c:spPr>
        <c:marker>
          <c:symbol val="circle"/>
          <c:size val="3"/>
          <c:spPr>
            <a:solidFill>
              <a:srgbClr val="9A0000"/>
            </a:solidFill>
            <a:ln>
              <a:solidFill>
                <a:srgbClr val="9A0000"/>
              </a:solidFill>
            </a:ln>
          </c:spPr>
        </c:marker>
      </c:pivotFmt>
      <c:pivotFmt>
        <c:idx val="10"/>
        <c:spPr>
          <a:ln>
            <a:solidFill>
              <a:schemeClr val="accent3">
                <a:lumMod val="50000"/>
              </a:schemeClr>
            </a:solidFill>
          </a:ln>
        </c:spPr>
        <c:marker>
          <c:symbol val="circle"/>
          <c:size val="3"/>
          <c:spPr>
            <a:solidFill>
              <a:schemeClr val="accent3">
                <a:lumMod val="50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Espaço de Captção.</c:v>
          </c:tx>
          <c:spPr>
            <a:solidFill>
              <a:schemeClr val="accent1"/>
            </a:solidFill>
          </c:spPr>
          <c:invertIfNegative val="0"/>
          <c:cat>
            <c:strLit>
              <c:ptCount val="43"/>
              <c:pt idx="0">
                <c:v>04/07/14</c:v>
              </c:pt>
              <c:pt idx="1">
                <c:v>11/07/14</c:v>
              </c:pt>
              <c:pt idx="2">
                <c:v>18/07/14</c:v>
              </c:pt>
              <c:pt idx="3">
                <c:v>25/07/14</c:v>
              </c:pt>
              <c:pt idx="4">
                <c:v>01/08/14</c:v>
              </c:pt>
              <c:pt idx="5">
                <c:v>08/08/14</c:v>
              </c:pt>
              <c:pt idx="6">
                <c:v>15/08/14</c:v>
              </c:pt>
              <c:pt idx="7">
                <c:v>22/08/14</c:v>
              </c:pt>
              <c:pt idx="8">
                <c:v>29/08/14</c:v>
              </c:pt>
              <c:pt idx="9">
                <c:v>05/09/14</c:v>
              </c:pt>
              <c:pt idx="10">
                <c:v>12/09/14</c:v>
              </c:pt>
              <c:pt idx="11">
                <c:v>19/09/14</c:v>
              </c:pt>
              <c:pt idx="12">
                <c:v>26/09/14</c:v>
              </c:pt>
              <c:pt idx="13">
                <c:v>03/10/14</c:v>
              </c:pt>
              <c:pt idx="14">
                <c:v>10/10/14</c:v>
              </c:pt>
              <c:pt idx="15">
                <c:v>17/10/14</c:v>
              </c:pt>
              <c:pt idx="16">
                <c:v>24/10/14</c:v>
              </c:pt>
              <c:pt idx="17">
                <c:v>31/10/14</c:v>
              </c:pt>
              <c:pt idx="18">
                <c:v>07/11/14</c:v>
              </c:pt>
              <c:pt idx="19">
                <c:v>14/11/14</c:v>
              </c:pt>
              <c:pt idx="20">
                <c:v>21/11/14</c:v>
              </c:pt>
              <c:pt idx="21">
                <c:v>28/11/14</c:v>
              </c:pt>
              <c:pt idx="22">
                <c:v>05/12/14</c:v>
              </c:pt>
              <c:pt idx="23">
                <c:v>12/12/14</c:v>
              </c:pt>
              <c:pt idx="24">
                <c:v>19/12/14</c:v>
              </c:pt>
              <c:pt idx="25">
                <c:v>26/12/14</c:v>
              </c:pt>
              <c:pt idx="26">
                <c:v>02/01/15</c:v>
              </c:pt>
              <c:pt idx="27">
                <c:v>09/01/15</c:v>
              </c:pt>
              <c:pt idx="28">
                <c:v>16/01/15</c:v>
              </c:pt>
              <c:pt idx="29">
                <c:v>23/01/15</c:v>
              </c:pt>
              <c:pt idx="30">
                <c:v>30/01/15</c:v>
              </c:pt>
              <c:pt idx="31">
                <c:v>06/02/15</c:v>
              </c:pt>
              <c:pt idx="32">
                <c:v>13/02/15</c:v>
              </c:pt>
              <c:pt idx="33">
                <c:v>20/02/15</c:v>
              </c:pt>
              <c:pt idx="34">
                <c:v>27/02/15</c:v>
              </c:pt>
              <c:pt idx="35">
                <c:v>06/03/15</c:v>
              </c:pt>
              <c:pt idx="36">
                <c:v>13/03/15</c:v>
              </c:pt>
              <c:pt idx="37">
                <c:v>20/03/15</c:v>
              </c:pt>
              <c:pt idx="38">
                <c:v>27/03/15</c:v>
              </c:pt>
              <c:pt idx="39">
                <c:v>10/04/15</c:v>
              </c:pt>
              <c:pt idx="40">
                <c:v>17/04/15</c:v>
              </c:pt>
              <c:pt idx="41">
                <c:v>24/04/15</c:v>
              </c:pt>
              <c:pt idx="42">
                <c:v>08/05/15</c:v>
              </c:pt>
            </c:strLit>
          </c:cat>
          <c:val>
            <c:numLit>
              <c:formatCode>General</c:formatCode>
              <c:ptCount val="43"/>
              <c:pt idx="0">
                <c:v>1912160.6027859841</c:v>
              </c:pt>
              <c:pt idx="1">
                <c:v>1916185.1808315953</c:v>
              </c:pt>
              <c:pt idx="2">
                <c:v>1923976.6785717048</c:v>
              </c:pt>
              <c:pt idx="3">
                <c:v>1931178.2123307716</c:v>
              </c:pt>
              <c:pt idx="4">
                <c:v>1936211.1250161212</c:v>
              </c:pt>
              <c:pt idx="5">
                <c:v>1935465.0539312074</c:v>
              </c:pt>
              <c:pt idx="6">
                <c:v>1935782.3166050836</c:v>
              </c:pt>
              <c:pt idx="7">
                <c:v>2078219.104513986</c:v>
              </c:pt>
              <c:pt idx="8">
                <c:v>3647725.8447111454</c:v>
              </c:pt>
              <c:pt idx="9">
                <c:v>3655885.8474977687</c:v>
              </c:pt>
              <c:pt idx="10">
                <c:v>3668035.1728241481</c:v>
              </c:pt>
              <c:pt idx="11">
                <c:v>3696612.8177129738</c:v>
              </c:pt>
              <c:pt idx="12">
                <c:v>3708736.9869248457</c:v>
              </c:pt>
              <c:pt idx="13">
                <c:v>3742288.5394197889</c:v>
              </c:pt>
              <c:pt idx="14">
                <c:v>3750240.9059221819</c:v>
              </c:pt>
              <c:pt idx="15">
                <c:v>3765396.5235593952</c:v>
              </c:pt>
              <c:pt idx="16">
                <c:v>3778294.4917067587</c:v>
              </c:pt>
              <c:pt idx="17">
                <c:v>3797858.9708129801</c:v>
              </c:pt>
              <c:pt idx="18">
                <c:v>3809477.9637253359</c:v>
              </c:pt>
              <c:pt idx="19">
                <c:v>3835703.3519338183</c:v>
              </c:pt>
              <c:pt idx="20">
                <c:v>5574340.4954655245</c:v>
              </c:pt>
              <c:pt idx="21">
                <c:v>5591866.4803511519</c:v>
              </c:pt>
              <c:pt idx="22">
                <c:v>5601786.2503061853</c:v>
              </c:pt>
              <c:pt idx="23">
                <c:v>5621868.7430456094</c:v>
              </c:pt>
              <c:pt idx="24">
                <c:v>5690655.3314151727</c:v>
              </c:pt>
              <c:pt idx="25">
                <c:v>5701567.3695360646</c:v>
              </c:pt>
              <c:pt idx="26">
                <c:v>5658014.1957987528</c:v>
              </c:pt>
              <c:pt idx="27">
                <c:v>5666563.6466043927</c:v>
              </c:pt>
              <c:pt idx="28">
                <c:v>5650315.8639787175</c:v>
              </c:pt>
              <c:pt idx="29">
                <c:v>5648029.1073256209</c:v>
              </c:pt>
              <c:pt idx="30">
                <c:v>5646864.4753149487</c:v>
              </c:pt>
              <c:pt idx="31">
                <c:v>5671009.4461450353</c:v>
              </c:pt>
              <c:pt idx="32">
                <c:v>5739367.5010474753</c:v>
              </c:pt>
              <c:pt idx="33">
                <c:v>5741665.6740460359</c:v>
              </c:pt>
              <c:pt idx="34">
                <c:v>5775663.8512759767</c:v>
              </c:pt>
              <c:pt idx="35">
                <c:v>5806179.643479377</c:v>
              </c:pt>
              <c:pt idx="36">
                <c:v>5825320.0814724118</c:v>
              </c:pt>
              <c:pt idx="37">
                <c:v>5852103.5588581823</c:v>
              </c:pt>
              <c:pt idx="38">
                <c:v>5876049.1425329782</c:v>
              </c:pt>
              <c:pt idx="39">
                <c:v>5935148.0853114054</c:v>
              </c:pt>
              <c:pt idx="40">
                <c:v>5981747.5417200029</c:v>
              </c:pt>
              <c:pt idx="41">
                <c:v>5999668.6922259554</c:v>
              </c:pt>
              <c:pt idx="42">
                <c:v>6038749.713168174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2861312"/>
        <c:axId val="77219520"/>
      </c:barChart>
      <c:lineChart>
        <c:grouping val="standard"/>
        <c:varyColors val="0"/>
        <c:ser>
          <c:idx val="1"/>
          <c:order val="1"/>
          <c:tx>
            <c:v>Variação Max Sub.</c:v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strLit>
              <c:ptCount val="43"/>
              <c:pt idx="0">
                <c:v>04/07/14</c:v>
              </c:pt>
              <c:pt idx="1">
                <c:v>11/07/14</c:v>
              </c:pt>
              <c:pt idx="2">
                <c:v>18/07/14</c:v>
              </c:pt>
              <c:pt idx="3">
                <c:v>25/07/14</c:v>
              </c:pt>
              <c:pt idx="4">
                <c:v>01/08/14</c:v>
              </c:pt>
              <c:pt idx="5">
                <c:v>08/08/14</c:v>
              </c:pt>
              <c:pt idx="6">
                <c:v>15/08/14</c:v>
              </c:pt>
              <c:pt idx="7">
                <c:v>22/08/14</c:v>
              </c:pt>
              <c:pt idx="8">
                <c:v>29/08/14</c:v>
              </c:pt>
              <c:pt idx="9">
                <c:v>05/09/14</c:v>
              </c:pt>
              <c:pt idx="10">
                <c:v>12/09/14</c:v>
              </c:pt>
              <c:pt idx="11">
                <c:v>19/09/14</c:v>
              </c:pt>
              <c:pt idx="12">
                <c:v>26/09/14</c:v>
              </c:pt>
              <c:pt idx="13">
                <c:v>03/10/14</c:v>
              </c:pt>
              <c:pt idx="14">
                <c:v>10/10/14</c:v>
              </c:pt>
              <c:pt idx="15">
                <c:v>17/10/14</c:v>
              </c:pt>
              <c:pt idx="16">
                <c:v>24/10/14</c:v>
              </c:pt>
              <c:pt idx="17">
                <c:v>31/10/14</c:v>
              </c:pt>
              <c:pt idx="18">
                <c:v>07/11/14</c:v>
              </c:pt>
              <c:pt idx="19">
                <c:v>14/11/14</c:v>
              </c:pt>
              <c:pt idx="20">
                <c:v>21/11/14</c:v>
              </c:pt>
              <c:pt idx="21">
                <c:v>28/11/14</c:v>
              </c:pt>
              <c:pt idx="22">
                <c:v>05/12/14</c:v>
              </c:pt>
              <c:pt idx="23">
                <c:v>12/12/14</c:v>
              </c:pt>
              <c:pt idx="24">
                <c:v>19/12/14</c:v>
              </c:pt>
              <c:pt idx="25">
                <c:v>26/12/14</c:v>
              </c:pt>
              <c:pt idx="26">
                <c:v>02/01/15</c:v>
              </c:pt>
              <c:pt idx="27">
                <c:v>09/01/15</c:v>
              </c:pt>
              <c:pt idx="28">
                <c:v>16/01/15</c:v>
              </c:pt>
              <c:pt idx="29">
                <c:v>23/01/15</c:v>
              </c:pt>
              <c:pt idx="30">
                <c:v>30/01/15</c:v>
              </c:pt>
              <c:pt idx="31">
                <c:v>06/02/15</c:v>
              </c:pt>
              <c:pt idx="32">
                <c:v>13/02/15</c:v>
              </c:pt>
              <c:pt idx="33">
                <c:v>20/02/15</c:v>
              </c:pt>
              <c:pt idx="34">
                <c:v>27/02/15</c:v>
              </c:pt>
              <c:pt idx="35">
                <c:v>06/03/15</c:v>
              </c:pt>
              <c:pt idx="36">
                <c:v>13/03/15</c:v>
              </c:pt>
              <c:pt idx="37">
                <c:v>20/03/15</c:v>
              </c:pt>
              <c:pt idx="38">
                <c:v>27/03/15</c:v>
              </c:pt>
              <c:pt idx="39">
                <c:v>10/04/15</c:v>
              </c:pt>
              <c:pt idx="40">
                <c:v>17/04/15</c:v>
              </c:pt>
              <c:pt idx="41">
                <c:v>24/04/15</c:v>
              </c:pt>
              <c:pt idx="42">
                <c:v>08/05/15</c:v>
              </c:pt>
            </c:strLit>
          </c:cat>
          <c:val>
            <c:numLit>
              <c:formatCode>General</c:formatCode>
              <c:ptCount val="43"/>
              <c:pt idx="0">
                <c:v>0.74709211504486039</c:v>
              </c:pt>
              <c:pt idx="1">
                <c:v>0.74600277446175656</c:v>
              </c:pt>
              <c:pt idx="2">
                <c:v>0.74637292058399118</c:v>
              </c:pt>
              <c:pt idx="3">
                <c:v>0.74650294959382668</c:v>
              </c:pt>
              <c:pt idx="4">
                <c:v>0.74578731483467209</c:v>
              </c:pt>
              <c:pt idx="5">
                <c:v>0.74284823770234365</c:v>
              </c:pt>
              <c:pt idx="6">
                <c:v>0.740327035477785</c:v>
              </c:pt>
              <c:pt idx="7">
                <c:v>0.79197226628478035</c:v>
              </c:pt>
              <c:pt idx="8">
                <c:v>0.70934093173736945</c:v>
              </c:pt>
              <c:pt idx="9">
                <c:v>0.70839874801992475</c:v>
              </c:pt>
              <c:pt idx="10">
                <c:v>0.70822378831966815</c:v>
              </c:pt>
              <c:pt idx="11">
                <c:v>0.7112025588429427</c:v>
              </c:pt>
              <c:pt idx="12">
                <c:v>0.71099461096589589</c:v>
              </c:pt>
              <c:pt idx="13">
                <c:v>0.71487460601397967</c:v>
              </c:pt>
              <c:pt idx="14">
                <c:v>0.71384298444323968</c:v>
              </c:pt>
              <c:pt idx="15">
                <c:v>0.71417587107827241</c:v>
              </c:pt>
              <c:pt idx="16">
                <c:v>0.71406912602276629</c:v>
              </c:pt>
              <c:pt idx="17">
                <c:v>0.71520311338402309</c:v>
              </c:pt>
              <c:pt idx="18">
                <c:v>0.71480569735453714</c:v>
              </c:pt>
              <c:pt idx="19">
                <c:v>0.71713039876381124</c:v>
              </c:pt>
              <c:pt idx="20">
                <c:v>0.66562797576092458</c:v>
              </c:pt>
              <c:pt idx="21">
                <c:v>0.66531213880358242</c:v>
              </c:pt>
              <c:pt idx="22">
                <c:v>0.66407850827355241</c:v>
              </c:pt>
              <c:pt idx="23">
                <c:v>0.66399696682193798</c:v>
              </c:pt>
              <c:pt idx="24">
                <c:v>0.66963718321647225</c:v>
              </c:pt>
              <c:pt idx="25">
                <c:v>0.66844295388076946</c:v>
              </c:pt>
              <c:pt idx="26">
                <c:v>0.66137619048540752</c:v>
              </c:pt>
              <c:pt idx="27">
                <c:v>0.65992977606220138</c:v>
              </c:pt>
              <c:pt idx="28">
                <c:v>0.65609302667925595</c:v>
              </c:pt>
              <c:pt idx="29">
                <c:v>0.65339384210291662</c:v>
              </c:pt>
              <c:pt idx="30">
                <c:v>0.65078810329078018</c:v>
              </c:pt>
              <c:pt idx="31">
                <c:v>0.65109787572904121</c:v>
              </c:pt>
              <c:pt idx="32">
                <c:v>0.65595489192850831</c:v>
              </c:pt>
              <c:pt idx="33">
                <c:v>0.65522307825923587</c:v>
              </c:pt>
              <c:pt idx="34">
                <c:v>0.65660858218855955</c:v>
              </c:pt>
              <c:pt idx="35">
                <c:v>0.65756797163920966</c:v>
              </c:pt>
              <c:pt idx="36">
                <c:v>0.65717982058304936</c:v>
              </c:pt>
              <c:pt idx="37">
                <c:v>0.65764371248600628</c:v>
              </c:pt>
              <c:pt idx="38">
                <c:v>0.65777553993172622</c:v>
              </c:pt>
              <c:pt idx="39">
                <c:v>0.65976510872884542</c:v>
              </c:pt>
              <c:pt idx="40">
                <c:v>0.66236916676534574</c:v>
              </c:pt>
              <c:pt idx="41">
                <c:v>0.66229380318059117</c:v>
              </c:pt>
              <c:pt idx="42">
                <c:v>0.66190470774997456</c:v>
              </c:pt>
            </c:numLit>
          </c:val>
          <c:smooth val="0"/>
        </c:ser>
        <c:ser>
          <c:idx val="2"/>
          <c:order val="2"/>
          <c:tx>
            <c:v>Variação Max Sub Jr.</c:v>
          </c:tx>
          <c:marker>
            <c:symbol val="circle"/>
            <c:size val="3"/>
          </c:marker>
          <c:cat>
            <c:strLit>
              <c:ptCount val="43"/>
              <c:pt idx="0">
                <c:v>04/07/14</c:v>
              </c:pt>
              <c:pt idx="1">
                <c:v>11/07/14</c:v>
              </c:pt>
              <c:pt idx="2">
                <c:v>18/07/14</c:v>
              </c:pt>
              <c:pt idx="3">
                <c:v>25/07/14</c:v>
              </c:pt>
              <c:pt idx="4">
                <c:v>01/08/14</c:v>
              </c:pt>
              <c:pt idx="5">
                <c:v>08/08/14</c:v>
              </c:pt>
              <c:pt idx="6">
                <c:v>15/08/14</c:v>
              </c:pt>
              <c:pt idx="7">
                <c:v>22/08/14</c:v>
              </c:pt>
              <c:pt idx="8">
                <c:v>29/08/14</c:v>
              </c:pt>
              <c:pt idx="9">
                <c:v>05/09/14</c:v>
              </c:pt>
              <c:pt idx="10">
                <c:v>12/09/14</c:v>
              </c:pt>
              <c:pt idx="11">
                <c:v>19/09/14</c:v>
              </c:pt>
              <c:pt idx="12">
                <c:v>26/09/14</c:v>
              </c:pt>
              <c:pt idx="13">
                <c:v>03/10/14</c:v>
              </c:pt>
              <c:pt idx="14">
                <c:v>10/10/14</c:v>
              </c:pt>
              <c:pt idx="15">
                <c:v>17/10/14</c:v>
              </c:pt>
              <c:pt idx="16">
                <c:v>24/10/14</c:v>
              </c:pt>
              <c:pt idx="17">
                <c:v>31/10/14</c:v>
              </c:pt>
              <c:pt idx="18">
                <c:v>07/11/14</c:v>
              </c:pt>
              <c:pt idx="19">
                <c:v>14/11/14</c:v>
              </c:pt>
              <c:pt idx="20">
                <c:v>21/11/14</c:v>
              </c:pt>
              <c:pt idx="21">
                <c:v>28/11/14</c:v>
              </c:pt>
              <c:pt idx="22">
                <c:v>05/12/14</c:v>
              </c:pt>
              <c:pt idx="23">
                <c:v>12/12/14</c:v>
              </c:pt>
              <c:pt idx="24">
                <c:v>19/12/14</c:v>
              </c:pt>
              <c:pt idx="25">
                <c:v>26/12/14</c:v>
              </c:pt>
              <c:pt idx="26">
                <c:v>02/01/15</c:v>
              </c:pt>
              <c:pt idx="27">
                <c:v>09/01/15</c:v>
              </c:pt>
              <c:pt idx="28">
                <c:v>16/01/15</c:v>
              </c:pt>
              <c:pt idx="29">
                <c:v>23/01/15</c:v>
              </c:pt>
              <c:pt idx="30">
                <c:v>30/01/15</c:v>
              </c:pt>
              <c:pt idx="31">
                <c:v>06/02/15</c:v>
              </c:pt>
              <c:pt idx="32">
                <c:v>13/02/15</c:v>
              </c:pt>
              <c:pt idx="33">
                <c:v>20/02/15</c:v>
              </c:pt>
              <c:pt idx="34">
                <c:v>27/02/15</c:v>
              </c:pt>
              <c:pt idx="35">
                <c:v>06/03/15</c:v>
              </c:pt>
              <c:pt idx="36">
                <c:v>13/03/15</c:v>
              </c:pt>
              <c:pt idx="37">
                <c:v>20/03/15</c:v>
              </c:pt>
              <c:pt idx="38">
                <c:v>27/03/15</c:v>
              </c:pt>
              <c:pt idx="39">
                <c:v>10/04/15</c:v>
              </c:pt>
              <c:pt idx="40">
                <c:v>17/04/15</c:v>
              </c:pt>
              <c:pt idx="41">
                <c:v>24/04/15</c:v>
              </c:pt>
              <c:pt idx="42">
                <c:v>08/05/15</c:v>
              </c:pt>
            </c:strLit>
          </c:cat>
          <c:val>
            <c:numLit>
              <c:formatCode>General</c:formatCode>
              <c:ptCount val="43"/>
              <c:pt idx="0">
                <c:v>0.49418423008972073</c:v>
              </c:pt>
              <c:pt idx="1">
                <c:v>0.49200554892351317</c:v>
              </c:pt>
              <c:pt idx="2">
                <c:v>0.49274584116798231</c:v>
              </c:pt>
              <c:pt idx="3">
                <c:v>0.4930058991876532</c:v>
              </c:pt>
              <c:pt idx="4">
                <c:v>0.49157462966934401</c:v>
              </c:pt>
              <c:pt idx="5">
                <c:v>0.48569647540468724</c:v>
              </c:pt>
              <c:pt idx="6">
                <c:v>0.48065407095556989</c:v>
              </c:pt>
              <c:pt idx="7">
                <c:v>0.5839445325695608</c:v>
              </c:pt>
              <c:pt idx="8">
                <c:v>0.41868186347473896</c:v>
              </c:pt>
              <c:pt idx="9">
                <c:v>0.41679749603984945</c:v>
              </c:pt>
              <c:pt idx="10">
                <c:v>0.41644757663933629</c:v>
              </c:pt>
              <c:pt idx="11">
                <c:v>0.42240511768588551</c:v>
              </c:pt>
              <c:pt idx="12">
                <c:v>0.42198922193179189</c:v>
              </c:pt>
              <c:pt idx="13">
                <c:v>0.42974921202795918</c:v>
              </c:pt>
              <c:pt idx="14">
                <c:v>0.42768596888647936</c:v>
              </c:pt>
              <c:pt idx="15">
                <c:v>0.42835174215654487</c:v>
              </c:pt>
              <c:pt idx="16">
                <c:v>0.42813825204553263</c:v>
              </c:pt>
              <c:pt idx="17">
                <c:v>0.43040622676804613</c:v>
              </c:pt>
              <c:pt idx="18">
                <c:v>0.42961139470907433</c:v>
              </c:pt>
              <c:pt idx="19">
                <c:v>0.43426079752762259</c:v>
              </c:pt>
              <c:pt idx="20">
                <c:v>0.33125595152184906</c:v>
              </c:pt>
              <c:pt idx="21">
                <c:v>0.3306242776071649</c:v>
              </c:pt>
              <c:pt idx="22">
                <c:v>0.32815701654710483</c:v>
              </c:pt>
              <c:pt idx="23">
                <c:v>0.32799393364387602</c:v>
              </c:pt>
              <c:pt idx="24">
                <c:v>0.33927436643294456</c:v>
              </c:pt>
              <c:pt idx="25">
                <c:v>0.33688590776153893</c:v>
              </c:pt>
              <c:pt idx="26">
                <c:v>0.32275238097081504</c:v>
              </c:pt>
              <c:pt idx="27">
                <c:v>0.31985955212440287</c:v>
              </c:pt>
              <c:pt idx="28">
                <c:v>0.31218605335851179</c:v>
              </c:pt>
              <c:pt idx="29">
                <c:v>0.3067876842058333</c:v>
              </c:pt>
              <c:pt idx="30">
                <c:v>0.30157620658156048</c:v>
              </c:pt>
              <c:pt idx="31">
                <c:v>0.30219575145808231</c:v>
              </c:pt>
              <c:pt idx="32">
                <c:v>0.31190978385701662</c:v>
              </c:pt>
              <c:pt idx="33">
                <c:v>0.31044615651847185</c:v>
              </c:pt>
              <c:pt idx="34">
                <c:v>0.313217164377119</c:v>
              </c:pt>
              <c:pt idx="35">
                <c:v>0.31513594327841932</c:v>
              </c:pt>
              <c:pt idx="36">
                <c:v>0.31435964116609877</c:v>
              </c:pt>
              <c:pt idx="37">
                <c:v>0.31528742497201256</c:v>
              </c:pt>
              <c:pt idx="38">
                <c:v>0.31555107986345243</c:v>
              </c:pt>
              <c:pt idx="39">
                <c:v>0.31953021745769072</c:v>
              </c:pt>
              <c:pt idx="40">
                <c:v>0.32473833353069137</c:v>
              </c:pt>
              <c:pt idx="41">
                <c:v>0.32458760636118233</c:v>
              </c:pt>
              <c:pt idx="42">
                <c:v>0.32380941549994924</c:v>
              </c:pt>
            </c:numLit>
          </c:val>
          <c:smooth val="0"/>
        </c:ser>
        <c:ser>
          <c:idx val="3"/>
          <c:order val="3"/>
          <c:tx>
            <c:v>Limite Sub - Max REG.</c:v>
          </c:tx>
          <c:spPr>
            <a:ln>
              <a:solidFill>
                <a:srgbClr val="9A0000"/>
              </a:solidFill>
            </a:ln>
          </c:spPr>
          <c:marker>
            <c:symbol val="circle"/>
            <c:size val="3"/>
            <c:spPr>
              <a:solidFill>
                <a:srgbClr val="9A0000"/>
              </a:solidFill>
              <a:ln>
                <a:solidFill>
                  <a:srgbClr val="9A0000"/>
                </a:solidFill>
              </a:ln>
            </c:spPr>
          </c:marker>
          <c:cat>
            <c:strLit>
              <c:ptCount val="43"/>
              <c:pt idx="0">
                <c:v>04/07/14</c:v>
              </c:pt>
              <c:pt idx="1">
                <c:v>11/07/14</c:v>
              </c:pt>
              <c:pt idx="2">
                <c:v>18/07/14</c:v>
              </c:pt>
              <c:pt idx="3">
                <c:v>25/07/14</c:v>
              </c:pt>
              <c:pt idx="4">
                <c:v>01/08/14</c:v>
              </c:pt>
              <c:pt idx="5">
                <c:v>08/08/14</c:v>
              </c:pt>
              <c:pt idx="6">
                <c:v>15/08/14</c:v>
              </c:pt>
              <c:pt idx="7">
                <c:v>22/08/14</c:v>
              </c:pt>
              <c:pt idx="8">
                <c:v>29/08/14</c:v>
              </c:pt>
              <c:pt idx="9">
                <c:v>05/09/14</c:v>
              </c:pt>
              <c:pt idx="10">
                <c:v>12/09/14</c:v>
              </c:pt>
              <c:pt idx="11">
                <c:v>19/09/14</c:v>
              </c:pt>
              <c:pt idx="12">
                <c:v>26/09/14</c:v>
              </c:pt>
              <c:pt idx="13">
                <c:v>03/10/14</c:v>
              </c:pt>
              <c:pt idx="14">
                <c:v>10/10/14</c:v>
              </c:pt>
              <c:pt idx="15">
                <c:v>17/10/14</c:v>
              </c:pt>
              <c:pt idx="16">
                <c:v>24/10/14</c:v>
              </c:pt>
              <c:pt idx="17">
                <c:v>31/10/14</c:v>
              </c:pt>
              <c:pt idx="18">
                <c:v>07/11/14</c:v>
              </c:pt>
              <c:pt idx="19">
                <c:v>14/11/14</c:v>
              </c:pt>
              <c:pt idx="20">
                <c:v>21/11/14</c:v>
              </c:pt>
              <c:pt idx="21">
                <c:v>28/11/14</c:v>
              </c:pt>
              <c:pt idx="22">
                <c:v>05/12/14</c:v>
              </c:pt>
              <c:pt idx="23">
                <c:v>12/12/14</c:v>
              </c:pt>
              <c:pt idx="24">
                <c:v>19/12/14</c:v>
              </c:pt>
              <c:pt idx="25">
                <c:v>26/12/14</c:v>
              </c:pt>
              <c:pt idx="26">
                <c:v>02/01/15</c:v>
              </c:pt>
              <c:pt idx="27">
                <c:v>09/01/15</c:v>
              </c:pt>
              <c:pt idx="28">
                <c:v>16/01/15</c:v>
              </c:pt>
              <c:pt idx="29">
                <c:v>23/01/15</c:v>
              </c:pt>
              <c:pt idx="30">
                <c:v>30/01/15</c:v>
              </c:pt>
              <c:pt idx="31">
                <c:v>06/02/15</c:v>
              </c:pt>
              <c:pt idx="32">
                <c:v>13/02/15</c:v>
              </c:pt>
              <c:pt idx="33">
                <c:v>20/02/15</c:v>
              </c:pt>
              <c:pt idx="34">
                <c:v>27/02/15</c:v>
              </c:pt>
              <c:pt idx="35">
                <c:v>06/03/15</c:v>
              </c:pt>
              <c:pt idx="36">
                <c:v>13/03/15</c:v>
              </c:pt>
              <c:pt idx="37">
                <c:v>20/03/15</c:v>
              </c:pt>
              <c:pt idx="38">
                <c:v>27/03/15</c:v>
              </c:pt>
              <c:pt idx="39">
                <c:v>10/04/15</c:v>
              </c:pt>
              <c:pt idx="40">
                <c:v>17/04/15</c:v>
              </c:pt>
              <c:pt idx="41">
                <c:v>24/04/15</c:v>
              </c:pt>
              <c:pt idx="42">
                <c:v>08/05/15</c:v>
              </c:pt>
            </c:strLit>
          </c:cat>
          <c:val>
            <c:numLit>
              <c:formatCode>General</c:formatCode>
              <c:ptCount val="43"/>
              <c:pt idx="0">
                <c:v>0.5</c:v>
              </c:pt>
              <c:pt idx="1">
                <c:v>0.5</c:v>
              </c:pt>
              <c:pt idx="2">
                <c:v>0.5</c:v>
              </c:pt>
              <c:pt idx="3">
                <c:v>0.5</c:v>
              </c:pt>
              <c:pt idx="4">
                <c:v>0.5</c:v>
              </c:pt>
              <c:pt idx="5">
                <c:v>0.5</c:v>
              </c:pt>
              <c:pt idx="6">
                <c:v>0.5</c:v>
              </c:pt>
              <c:pt idx="7">
                <c:v>0.5</c:v>
              </c:pt>
              <c:pt idx="8">
                <c:v>0.5</c:v>
              </c:pt>
              <c:pt idx="9">
                <c:v>0.5</c:v>
              </c:pt>
              <c:pt idx="10">
                <c:v>0.5</c:v>
              </c:pt>
              <c:pt idx="11">
                <c:v>0.5</c:v>
              </c:pt>
              <c:pt idx="12">
                <c:v>0.5</c:v>
              </c:pt>
              <c:pt idx="13">
                <c:v>0.5</c:v>
              </c:pt>
              <c:pt idx="14">
                <c:v>0.5</c:v>
              </c:pt>
              <c:pt idx="15">
                <c:v>0.5</c:v>
              </c:pt>
              <c:pt idx="16">
                <c:v>0.5</c:v>
              </c:pt>
              <c:pt idx="17">
                <c:v>0.5</c:v>
              </c:pt>
              <c:pt idx="18">
                <c:v>0.5</c:v>
              </c:pt>
              <c:pt idx="19">
                <c:v>0.5</c:v>
              </c:pt>
              <c:pt idx="20">
                <c:v>0.5</c:v>
              </c:pt>
              <c:pt idx="21">
                <c:v>0.5</c:v>
              </c:pt>
              <c:pt idx="22">
                <c:v>0.5</c:v>
              </c:pt>
              <c:pt idx="23">
                <c:v>0.5</c:v>
              </c:pt>
              <c:pt idx="24">
                <c:v>0.5</c:v>
              </c:pt>
              <c:pt idx="25">
                <c:v>0.5</c:v>
              </c:pt>
              <c:pt idx="26">
                <c:v>0.5</c:v>
              </c:pt>
              <c:pt idx="27">
                <c:v>0.5</c:v>
              </c:pt>
              <c:pt idx="28">
                <c:v>0.5</c:v>
              </c:pt>
              <c:pt idx="29">
                <c:v>0.5</c:v>
              </c:pt>
              <c:pt idx="30">
                <c:v>0.5</c:v>
              </c:pt>
              <c:pt idx="31">
                <c:v>0.5</c:v>
              </c:pt>
              <c:pt idx="32">
                <c:v>0.5</c:v>
              </c:pt>
              <c:pt idx="33">
                <c:v>0.5</c:v>
              </c:pt>
              <c:pt idx="34">
                <c:v>0.5</c:v>
              </c:pt>
              <c:pt idx="35">
                <c:v>0.5</c:v>
              </c:pt>
              <c:pt idx="36">
                <c:v>0.5</c:v>
              </c:pt>
              <c:pt idx="37">
                <c:v>0.5</c:v>
              </c:pt>
              <c:pt idx="38">
                <c:v>0.5</c:v>
              </c:pt>
              <c:pt idx="39">
                <c:v>0.5</c:v>
              </c:pt>
              <c:pt idx="40">
                <c:v>0.5</c:v>
              </c:pt>
              <c:pt idx="41">
                <c:v>0.5</c:v>
              </c:pt>
              <c:pt idx="42">
                <c:v>0.5</c:v>
              </c:pt>
            </c:numLit>
          </c:val>
          <c:smooth val="0"/>
        </c:ser>
        <c:ser>
          <c:idx val="4"/>
          <c:order val="4"/>
          <c:tx>
            <c:v>Limite Sub. Jr. - Min REG.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3"/>
            <c:spPr>
              <a:solidFill>
                <a:schemeClr val="accent3">
                  <a:lumMod val="5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cat>
            <c:strLit>
              <c:ptCount val="43"/>
              <c:pt idx="0">
                <c:v>04/07/14</c:v>
              </c:pt>
              <c:pt idx="1">
                <c:v>11/07/14</c:v>
              </c:pt>
              <c:pt idx="2">
                <c:v>18/07/14</c:v>
              </c:pt>
              <c:pt idx="3">
                <c:v>25/07/14</c:v>
              </c:pt>
              <c:pt idx="4">
                <c:v>01/08/14</c:v>
              </c:pt>
              <c:pt idx="5">
                <c:v>08/08/14</c:v>
              </c:pt>
              <c:pt idx="6">
                <c:v>15/08/14</c:v>
              </c:pt>
              <c:pt idx="7">
                <c:v>22/08/14</c:v>
              </c:pt>
              <c:pt idx="8">
                <c:v>29/08/14</c:v>
              </c:pt>
              <c:pt idx="9">
                <c:v>05/09/14</c:v>
              </c:pt>
              <c:pt idx="10">
                <c:v>12/09/14</c:v>
              </c:pt>
              <c:pt idx="11">
                <c:v>19/09/14</c:v>
              </c:pt>
              <c:pt idx="12">
                <c:v>26/09/14</c:v>
              </c:pt>
              <c:pt idx="13">
                <c:v>03/10/14</c:v>
              </c:pt>
              <c:pt idx="14">
                <c:v>10/10/14</c:v>
              </c:pt>
              <c:pt idx="15">
                <c:v>17/10/14</c:v>
              </c:pt>
              <c:pt idx="16">
                <c:v>24/10/14</c:v>
              </c:pt>
              <c:pt idx="17">
                <c:v>31/10/14</c:v>
              </c:pt>
              <c:pt idx="18">
                <c:v>07/11/14</c:v>
              </c:pt>
              <c:pt idx="19">
                <c:v>14/11/14</c:v>
              </c:pt>
              <c:pt idx="20">
                <c:v>21/11/14</c:v>
              </c:pt>
              <c:pt idx="21">
                <c:v>28/11/14</c:v>
              </c:pt>
              <c:pt idx="22">
                <c:v>05/12/14</c:v>
              </c:pt>
              <c:pt idx="23">
                <c:v>12/12/14</c:v>
              </c:pt>
              <c:pt idx="24">
                <c:v>19/12/14</c:v>
              </c:pt>
              <c:pt idx="25">
                <c:v>26/12/14</c:v>
              </c:pt>
              <c:pt idx="26">
                <c:v>02/01/15</c:v>
              </c:pt>
              <c:pt idx="27">
                <c:v>09/01/15</c:v>
              </c:pt>
              <c:pt idx="28">
                <c:v>16/01/15</c:v>
              </c:pt>
              <c:pt idx="29">
                <c:v>23/01/15</c:v>
              </c:pt>
              <c:pt idx="30">
                <c:v>30/01/15</c:v>
              </c:pt>
              <c:pt idx="31">
                <c:v>06/02/15</c:v>
              </c:pt>
              <c:pt idx="32">
                <c:v>13/02/15</c:v>
              </c:pt>
              <c:pt idx="33">
                <c:v>20/02/15</c:v>
              </c:pt>
              <c:pt idx="34">
                <c:v>27/02/15</c:v>
              </c:pt>
              <c:pt idx="35">
                <c:v>06/03/15</c:v>
              </c:pt>
              <c:pt idx="36">
                <c:v>13/03/15</c:v>
              </c:pt>
              <c:pt idx="37">
                <c:v>20/03/15</c:v>
              </c:pt>
              <c:pt idx="38">
                <c:v>27/03/15</c:v>
              </c:pt>
              <c:pt idx="39">
                <c:v>10/04/15</c:v>
              </c:pt>
              <c:pt idx="40">
                <c:v>17/04/15</c:v>
              </c:pt>
              <c:pt idx="41">
                <c:v>24/04/15</c:v>
              </c:pt>
              <c:pt idx="42">
                <c:v>08/05/15</c:v>
              </c:pt>
            </c:strLit>
          </c:cat>
          <c:val>
            <c:numLit>
              <c:formatCode>General</c:formatCode>
              <c:ptCount val="43"/>
              <c:pt idx="0">
                <c:v>0.4</c:v>
              </c:pt>
              <c:pt idx="1">
                <c:v>0.4</c:v>
              </c:pt>
              <c:pt idx="2">
                <c:v>0.4</c:v>
              </c:pt>
              <c:pt idx="3">
                <c:v>0.4</c:v>
              </c:pt>
              <c:pt idx="4">
                <c:v>0.4</c:v>
              </c:pt>
              <c:pt idx="5">
                <c:v>0.4</c:v>
              </c:pt>
              <c:pt idx="6">
                <c:v>0.4</c:v>
              </c:pt>
              <c:pt idx="7">
                <c:v>0.4</c:v>
              </c:pt>
              <c:pt idx="8">
                <c:v>0.4</c:v>
              </c:pt>
              <c:pt idx="9">
                <c:v>0.4</c:v>
              </c:pt>
              <c:pt idx="10">
                <c:v>0.4</c:v>
              </c:pt>
              <c:pt idx="11">
                <c:v>0.4</c:v>
              </c:pt>
              <c:pt idx="12">
                <c:v>0.4</c:v>
              </c:pt>
              <c:pt idx="13">
                <c:v>0.4</c:v>
              </c:pt>
              <c:pt idx="14">
                <c:v>0.4</c:v>
              </c:pt>
              <c:pt idx="15">
                <c:v>0.4</c:v>
              </c:pt>
              <c:pt idx="16">
                <c:v>0.4</c:v>
              </c:pt>
              <c:pt idx="17">
                <c:v>0.4</c:v>
              </c:pt>
              <c:pt idx="18">
                <c:v>0.4</c:v>
              </c:pt>
              <c:pt idx="19">
                <c:v>0.4</c:v>
              </c:pt>
              <c:pt idx="20">
                <c:v>0.4</c:v>
              </c:pt>
              <c:pt idx="21">
                <c:v>0.4</c:v>
              </c:pt>
              <c:pt idx="22">
                <c:v>0.4</c:v>
              </c:pt>
              <c:pt idx="23">
                <c:v>0.4</c:v>
              </c:pt>
              <c:pt idx="24">
                <c:v>0.4</c:v>
              </c:pt>
              <c:pt idx="25">
                <c:v>0.4</c:v>
              </c:pt>
              <c:pt idx="26">
                <c:v>0.4</c:v>
              </c:pt>
              <c:pt idx="27">
                <c:v>0.4</c:v>
              </c:pt>
              <c:pt idx="28">
                <c:v>0.4</c:v>
              </c:pt>
              <c:pt idx="29">
                <c:v>0.4</c:v>
              </c:pt>
              <c:pt idx="30">
                <c:v>0.4</c:v>
              </c:pt>
              <c:pt idx="31">
                <c:v>0.4</c:v>
              </c:pt>
              <c:pt idx="32">
                <c:v>0.4</c:v>
              </c:pt>
              <c:pt idx="33">
                <c:v>0.4</c:v>
              </c:pt>
              <c:pt idx="34">
                <c:v>0.4</c:v>
              </c:pt>
              <c:pt idx="35">
                <c:v>0.4</c:v>
              </c:pt>
              <c:pt idx="36">
                <c:v>0.4</c:v>
              </c:pt>
              <c:pt idx="37">
                <c:v>0.4</c:v>
              </c:pt>
              <c:pt idx="38">
                <c:v>0.4</c:v>
              </c:pt>
              <c:pt idx="39">
                <c:v>0.4</c:v>
              </c:pt>
              <c:pt idx="40">
                <c:v>0.4</c:v>
              </c:pt>
              <c:pt idx="41">
                <c:v>0.4</c:v>
              </c:pt>
              <c:pt idx="42">
                <c:v>0.4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524416"/>
        <c:axId val="77220096"/>
      </c:lineChart>
      <c:catAx>
        <c:axId val="26286131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2700000" vert="horz"/>
          <a:lstStyle/>
          <a:p>
            <a:pPr>
              <a:defRPr sz="800"/>
            </a:pPr>
            <a:endParaRPr lang="pt-BR"/>
          </a:p>
        </c:txPr>
        <c:crossAx val="77219520"/>
        <c:crosses val="autoZero"/>
        <c:auto val="1"/>
        <c:lblAlgn val="ctr"/>
        <c:lblOffset val="100"/>
        <c:noMultiLvlLbl val="0"/>
      </c:catAx>
      <c:valAx>
        <c:axId val="772195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crossAx val="262861312"/>
        <c:crosses val="autoZero"/>
        <c:crossBetween val="between"/>
        <c:dispUnits>
          <c:builtInUnit val="millions"/>
          <c:dispUnitsLbl>
            <c:layout/>
          </c:dispUnitsLbl>
        </c:dispUnits>
      </c:valAx>
      <c:valAx>
        <c:axId val="77220096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crossAx val="262524416"/>
        <c:crosses val="max"/>
        <c:crossBetween val="between"/>
      </c:valAx>
      <c:catAx>
        <c:axId val="262524416"/>
        <c:scaling>
          <c:orientation val="minMax"/>
        </c:scaling>
        <c:delete val="1"/>
        <c:axPos val="b"/>
        <c:majorTickMark val="out"/>
        <c:minorTickMark val="none"/>
        <c:tickLblPos val="nextTo"/>
        <c:crossAx val="77220096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21424167843681191"/>
          <c:y val="0.88850503062117236"/>
          <c:w val="0.65114102592699996"/>
          <c:h val="8.2996718844472364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5.png"/><Relationship Id="rId2" Type="http://schemas.openxmlformats.org/officeDocument/2006/relationships/image" Target="../media/image2.png"/><Relationship Id="rId16" Type="http://schemas.openxmlformats.org/officeDocument/2006/relationships/image" Target="../media/image1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56</xdr:row>
      <xdr:rowOff>123825</xdr:rowOff>
    </xdr:from>
    <xdr:to>
      <xdr:col>22</xdr:col>
      <xdr:colOff>352425</xdr:colOff>
      <xdr:row>63</xdr:row>
      <xdr:rowOff>85725</xdr:rowOff>
    </xdr:to>
    <xdr:pic>
      <xdr:nvPicPr>
        <xdr:cNvPr id="7" name="Imagem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3375" y="7886700"/>
          <a:ext cx="7439025" cy="962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47625</xdr:colOff>
      <xdr:row>63</xdr:row>
      <xdr:rowOff>95249</xdr:rowOff>
    </xdr:from>
    <xdr:to>
      <xdr:col>22</xdr:col>
      <xdr:colOff>342900</xdr:colOff>
      <xdr:row>75</xdr:row>
      <xdr:rowOff>45608</xdr:rowOff>
    </xdr:to>
    <xdr:pic>
      <xdr:nvPicPr>
        <xdr:cNvPr id="8" name="Imagem 2" descr="image007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3375" y="8858249"/>
          <a:ext cx="7429500" cy="16648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76200</xdr:colOff>
      <xdr:row>75</xdr:row>
      <xdr:rowOff>57149</xdr:rowOff>
    </xdr:from>
    <xdr:to>
      <xdr:col>22</xdr:col>
      <xdr:colOff>314325</xdr:colOff>
      <xdr:row>89</xdr:row>
      <xdr:rowOff>19050</xdr:rowOff>
    </xdr:to>
    <xdr:pic>
      <xdr:nvPicPr>
        <xdr:cNvPr id="9" name="Imagem 3" descr="image008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1950" y="10534649"/>
          <a:ext cx="7372350" cy="19621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0</xdr:row>
          <xdr:rowOff>19050</xdr:rowOff>
        </xdr:from>
        <xdr:to>
          <xdr:col>6</xdr:col>
          <xdr:colOff>981075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0</xdr:row>
          <xdr:rowOff>19050</xdr:rowOff>
        </xdr:from>
        <xdr:to>
          <xdr:col>7</xdr:col>
          <xdr:colOff>981075</xdr:colOff>
          <xdr:row>1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</a:rPr>
                <a:t>Executar Gráfico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47625</xdr:colOff>
      <xdr:row>56</xdr:row>
      <xdr:rowOff>123825</xdr:rowOff>
    </xdr:from>
    <xdr:to>
      <xdr:col>22</xdr:col>
      <xdr:colOff>352425</xdr:colOff>
      <xdr:row>63</xdr:row>
      <xdr:rowOff>84060</xdr:rowOff>
    </xdr:to>
    <xdr:pic>
      <xdr:nvPicPr>
        <xdr:cNvPr id="18" name="Imagem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3375" y="7972425"/>
          <a:ext cx="7439025" cy="960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57149</xdr:colOff>
      <xdr:row>63</xdr:row>
      <xdr:rowOff>104775</xdr:rowOff>
    </xdr:from>
    <xdr:to>
      <xdr:col>22</xdr:col>
      <xdr:colOff>400050</xdr:colOff>
      <xdr:row>75</xdr:row>
      <xdr:rowOff>53166</xdr:rowOff>
    </xdr:to>
    <xdr:pic>
      <xdr:nvPicPr>
        <xdr:cNvPr id="19" name="Imagem 2" descr="image002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2899" y="8953500"/>
          <a:ext cx="7477126" cy="16628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85724</xdr:colOff>
      <xdr:row>75</xdr:row>
      <xdr:rowOff>57150</xdr:rowOff>
    </xdr:from>
    <xdr:to>
      <xdr:col>22</xdr:col>
      <xdr:colOff>342900</xdr:colOff>
      <xdr:row>89</xdr:row>
      <xdr:rowOff>26018</xdr:rowOff>
    </xdr:to>
    <xdr:pic>
      <xdr:nvPicPr>
        <xdr:cNvPr id="20" name="Imagem 3" descr="image007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1474" y="10620375"/>
          <a:ext cx="7391401" cy="19691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47624</xdr:colOff>
      <xdr:row>56</xdr:row>
      <xdr:rowOff>123824</xdr:rowOff>
    </xdr:from>
    <xdr:to>
      <xdr:col>22</xdr:col>
      <xdr:colOff>333374</xdr:colOff>
      <xdr:row>63</xdr:row>
      <xdr:rowOff>87712</xdr:rowOff>
    </xdr:to>
    <xdr:pic>
      <xdr:nvPicPr>
        <xdr:cNvPr id="13" name="Imagem 1" descr="image002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3374" y="7972424"/>
          <a:ext cx="7419975" cy="9640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57150</xdr:colOff>
      <xdr:row>63</xdr:row>
      <xdr:rowOff>114300</xdr:rowOff>
    </xdr:from>
    <xdr:to>
      <xdr:col>22</xdr:col>
      <xdr:colOff>409575</xdr:colOff>
      <xdr:row>75</xdr:row>
      <xdr:rowOff>25400</xdr:rowOff>
    </xdr:to>
    <xdr:pic>
      <xdr:nvPicPr>
        <xdr:cNvPr id="14" name="Imagem 2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2900" y="8963025"/>
          <a:ext cx="7486650" cy="162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95249</xdr:colOff>
      <xdr:row>75</xdr:row>
      <xdr:rowOff>57150</xdr:rowOff>
    </xdr:from>
    <xdr:to>
      <xdr:col>22</xdr:col>
      <xdr:colOff>342899</xdr:colOff>
      <xdr:row>89</xdr:row>
      <xdr:rowOff>30900</xdr:rowOff>
    </xdr:to>
    <xdr:pic>
      <xdr:nvPicPr>
        <xdr:cNvPr id="15" name="Imagem 3" descr="image00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0999" y="10620375"/>
          <a:ext cx="7381875" cy="197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38101</xdr:colOff>
      <xdr:row>56</xdr:row>
      <xdr:rowOff>123825</xdr:rowOff>
    </xdr:from>
    <xdr:to>
      <xdr:col>22</xdr:col>
      <xdr:colOff>342900</xdr:colOff>
      <xdr:row>63</xdr:row>
      <xdr:rowOff>85725</xdr:rowOff>
    </xdr:to>
    <xdr:pic>
      <xdr:nvPicPr>
        <xdr:cNvPr id="16" name="Imagem 1" descr="image002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3851" y="7972425"/>
          <a:ext cx="7439024" cy="962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28575</xdr:colOff>
      <xdr:row>63</xdr:row>
      <xdr:rowOff>99987</xdr:rowOff>
    </xdr:from>
    <xdr:to>
      <xdr:col>22</xdr:col>
      <xdr:colOff>323850</xdr:colOff>
      <xdr:row>75</xdr:row>
      <xdr:rowOff>48367</xdr:rowOff>
    </xdr:to>
    <xdr:pic>
      <xdr:nvPicPr>
        <xdr:cNvPr id="21" name="Imagem 2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8948712"/>
          <a:ext cx="7429500" cy="166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93317</xdr:colOff>
      <xdr:row>75</xdr:row>
      <xdr:rowOff>57150</xdr:rowOff>
    </xdr:from>
    <xdr:to>
      <xdr:col>22</xdr:col>
      <xdr:colOff>342900</xdr:colOff>
      <xdr:row>89</xdr:row>
      <xdr:rowOff>25313</xdr:rowOff>
    </xdr:to>
    <xdr:pic>
      <xdr:nvPicPr>
        <xdr:cNvPr id="22" name="Imagem 3" descr="image007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9067" y="10620375"/>
          <a:ext cx="7383808" cy="19684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38099</xdr:colOff>
      <xdr:row>7</xdr:row>
      <xdr:rowOff>0</xdr:rowOff>
    </xdr:from>
    <xdr:to>
      <xdr:col>26</xdr:col>
      <xdr:colOff>600074</xdr:colOff>
      <xdr:row>29</xdr:row>
      <xdr:rowOff>0</xdr:rowOff>
    </xdr:to>
    <xdr:graphicFrame macro="">
      <xdr:nvGraphicFramePr>
        <xdr:cNvPr id="23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28575</xdr:colOff>
      <xdr:row>29</xdr:row>
      <xdr:rowOff>38101</xdr:rowOff>
    </xdr:from>
    <xdr:to>
      <xdr:col>26</xdr:col>
      <xdr:colOff>600074</xdr:colOff>
      <xdr:row>52</xdr:row>
      <xdr:rowOff>123826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47625</xdr:colOff>
      <xdr:row>56</xdr:row>
      <xdr:rowOff>123825</xdr:rowOff>
    </xdr:from>
    <xdr:to>
      <xdr:col>22</xdr:col>
      <xdr:colOff>361950</xdr:colOff>
      <xdr:row>63</xdr:row>
      <xdr:rowOff>80776</xdr:rowOff>
    </xdr:to>
    <xdr:pic>
      <xdr:nvPicPr>
        <xdr:cNvPr id="26" name="Imagem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3375" y="7972425"/>
          <a:ext cx="7448550" cy="9570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66675</xdr:colOff>
      <xdr:row>63</xdr:row>
      <xdr:rowOff>85725</xdr:rowOff>
    </xdr:from>
    <xdr:to>
      <xdr:col>22</xdr:col>
      <xdr:colOff>428625</xdr:colOff>
      <xdr:row>75</xdr:row>
      <xdr:rowOff>18429</xdr:rowOff>
    </xdr:to>
    <xdr:pic>
      <xdr:nvPicPr>
        <xdr:cNvPr id="27" name="Imagem 2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2425" y="8934450"/>
          <a:ext cx="7496175" cy="16472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104775</xdr:colOff>
      <xdr:row>74</xdr:row>
      <xdr:rowOff>142874</xdr:rowOff>
    </xdr:from>
    <xdr:to>
      <xdr:col>22</xdr:col>
      <xdr:colOff>342900</xdr:colOff>
      <xdr:row>105</xdr:row>
      <xdr:rowOff>16570</xdr:rowOff>
    </xdr:to>
    <xdr:pic>
      <xdr:nvPicPr>
        <xdr:cNvPr id="28" name="Imagem 3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00525" y="10563224"/>
          <a:ext cx="7372350" cy="43028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orderbysql_orderbysql netfactor checagemTEMP" adjustColumnWidth="0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DataDaExistencia" tableColumnId="1"/>
      <queryTableField id="2" name="TitulosMenores50Quantidade" tableColumnId="2"/>
      <queryTableField id="3" name="TitulosMenores50UltimoVencimento" tableColumnId="3"/>
      <queryTableField id="4" name="PrazoMedioDoFundo" tableColumnId="4"/>
      <queryTableField id="5" name="SomaDosCheques" tableColumnId="5"/>
      <queryTableField id="6" name="VencDoUltimoTitulo" tableColumnId="6"/>
    </queryTableFields>
  </queryTableRefresh>
</queryTable>
</file>

<file path=xl/queryTables/queryTable2.xml><?xml version="1.0" encoding="utf-8"?>
<queryTable xmlns="http://schemas.openxmlformats.org/spreadsheetml/2006/main" name="orderbysql_orderbysql netfactor checagemTEMP_1" adjustColumnWidth="0" connectionId="4" autoFormatId="16" applyNumberFormats="0" applyBorderFormats="0" applyFontFormats="0" applyPatternFormats="0" applyAlignmentFormats="0" applyWidthHeightFormats="0">
  <queryTableRefresh nextId="3">
    <queryTableFields count="2">
      <queryTableField id="1" name="Nome" tableColumnId="1"/>
      <queryTableField id="2" name="Valor" tableColumnId="2"/>
    </queryTableFields>
  </queryTableRefresh>
</queryTable>
</file>

<file path=xl/queryTables/queryTable3.xml><?xml version="1.0" encoding="utf-8"?>
<queryTable xmlns="http://schemas.openxmlformats.org/spreadsheetml/2006/main" name="orderbysql_orderbysql netfactor checagemTEMP_2" adjustColumnWidth="0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Nome" tableColumnId="1"/>
      <queryTableField id="2" name="Valor" tableColumnId="2"/>
    </queryTableFields>
  </queryTableRefresh>
</queryTable>
</file>

<file path=xl/queryTables/queryTable4.xml><?xml version="1.0" encoding="utf-8"?>
<queryTable xmlns="http://schemas.openxmlformats.org/spreadsheetml/2006/main" name="DadosExternos_1" adjustColumnWidth="0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Periodo" tableColumnId="1"/>
      <queryTableField id="2" name="Valor" tableColumnId="2"/>
      <queryTableField id="3" name="PD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ela_orderbysql_orderbysql_netfactor_checagemTEMP" displayName="Tabela_orderbysql_orderbysql_netfactor_checagemTEMP" ref="A3:F4" tableType="queryTable">
  <tableColumns count="6">
    <tableColumn id="1" uniqueName="1" name="DataDaExistencia" totalsRowLabel="Total" queryTableFieldId="1" dataDxfId="2"/>
    <tableColumn id="2" uniqueName="2" name="TitulosMenores50Quantidade" queryTableFieldId="2"/>
    <tableColumn id="3" uniqueName="3" name="TitulosMenores50UltimoVencimento" queryTableFieldId="3" dataDxfId="1"/>
    <tableColumn id="4" uniqueName="4" name="PrazoMedioDoFundo" queryTableFieldId="4"/>
    <tableColumn id="5" uniqueName="5" name="SomaDosCheques" queryTableFieldId="5"/>
    <tableColumn id="6" uniqueName="6" name="VencDoUltimoTitulo" totalsRowFunction="count" queryTableFieldId="6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a_orderbysql_orderbysql_netfactor_checagemTEMP_1" displayName="Tabela_orderbysql_orderbysql_netfactor_checagemTEMP_1" ref="A8:B13" tableType="queryTable" totalsRowShown="0">
  <tableColumns count="2">
    <tableColumn id="1" uniqueName="1" name="Nome" queryTableFieldId="1"/>
    <tableColumn id="2" uniqueName="2" name="Valor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_orderbysql_orderbysql_netfactor_checagemTEMP_2" displayName="Tabela_orderbysql_orderbysql_netfactor_checagemTEMP_2" ref="A17:B22" tableType="queryTable" totalsRowShown="0">
  <tableColumns count="2">
    <tableColumn id="1" uniqueName="1" name="Nome" queryTableFieldId="1"/>
    <tableColumn id="2" uniqueName="2" name="Valor" queryTableField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_DadosExternos_1" displayName="Tabela_DadosExternos_1" ref="A26:C37" tableType="queryTable" totalsRowShown="0">
  <tableColumns count="3">
    <tableColumn id="1" uniqueName="1" name="Periodo" queryTableFieldId="1"/>
    <tableColumn id="2" uniqueName="2" name="Valor" queryTableFieldId="2"/>
    <tableColumn id="3" uniqueName="3" name="PD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topLeftCell="A16" workbookViewId="0">
      <selection activeCell="B45" sqref="B45"/>
    </sheetView>
  </sheetViews>
  <sheetFormatPr defaultRowHeight="11.25" x14ac:dyDescent="0.2"/>
  <cols>
    <col min="1" max="1" width="9.28515625" style="1" bestFit="1" customWidth="1"/>
    <col min="2" max="4" width="10.85546875" style="1" bestFit="1" customWidth="1"/>
    <col min="5" max="5" width="10" style="1" bestFit="1" customWidth="1"/>
    <col min="6" max="8" width="9.28515625" style="1" bestFit="1" customWidth="1"/>
    <col min="9" max="9" width="10" style="1" bestFit="1" customWidth="1"/>
    <col min="10" max="16384" width="9.140625" style="1"/>
  </cols>
  <sheetData>
    <row r="1" spans="1:10" ht="11.25" customHeight="1" x14ac:dyDescent="0.2">
      <c r="A1" s="148" t="s">
        <v>138</v>
      </c>
      <c r="B1" s="148"/>
      <c r="C1" s="148"/>
      <c r="D1" s="148"/>
      <c r="E1" s="148"/>
      <c r="F1" s="148"/>
      <c r="G1" s="148"/>
      <c r="H1" s="148"/>
      <c r="I1" s="148"/>
    </row>
    <row r="4" spans="1:10" x14ac:dyDescent="0.2">
      <c r="J4" s="86"/>
    </row>
    <row r="5" spans="1:10" x14ac:dyDescent="0.2">
      <c r="A5" s="85" t="s">
        <v>75</v>
      </c>
      <c r="B5" s="85" t="s">
        <v>76</v>
      </c>
      <c r="C5" s="85" t="s">
        <v>77</v>
      </c>
      <c r="D5" s="85" t="s">
        <v>78</v>
      </c>
      <c r="E5" s="85" t="s">
        <v>79</v>
      </c>
      <c r="F5" s="85" t="s">
        <v>80</v>
      </c>
      <c r="G5" s="85" t="s">
        <v>81</v>
      </c>
      <c r="H5" s="85" t="s">
        <v>82</v>
      </c>
      <c r="I5" s="85" t="s">
        <v>83</v>
      </c>
      <c r="J5" s="89"/>
    </row>
    <row r="6" spans="1:10" x14ac:dyDescent="0.2">
      <c r="A6" s="87" t="s">
        <v>84</v>
      </c>
      <c r="B6" s="88">
        <v>4492762.01</v>
      </c>
      <c r="C6" s="88">
        <v>3566936.15</v>
      </c>
      <c r="D6" s="88">
        <v>842372.07000000007</v>
      </c>
      <c r="E6" s="88">
        <v>57735.3</v>
      </c>
      <c r="F6" s="88">
        <v>24262.670000000002</v>
      </c>
      <c r="G6" s="88">
        <v>1455.82</v>
      </c>
      <c r="H6" s="88">
        <v>0</v>
      </c>
      <c r="I6" s="88">
        <v>0</v>
      </c>
      <c r="J6" s="89"/>
    </row>
    <row r="7" spans="1:10" x14ac:dyDescent="0.2">
      <c r="A7" s="87" t="s">
        <v>85</v>
      </c>
      <c r="B7" s="88">
        <v>5981198.5700000003</v>
      </c>
      <c r="C7" s="88">
        <v>4987098.07</v>
      </c>
      <c r="D7" s="88">
        <v>854114.43</v>
      </c>
      <c r="E7" s="88">
        <v>109448.08</v>
      </c>
      <c r="F7" s="88">
        <v>27546.560000000001</v>
      </c>
      <c r="G7" s="88">
        <v>2991.43</v>
      </c>
      <c r="H7" s="88">
        <v>0</v>
      </c>
      <c r="I7" s="88">
        <v>0</v>
      </c>
      <c r="J7" s="90"/>
    </row>
    <row r="8" spans="1:10" x14ac:dyDescent="0.2">
      <c r="A8" s="87" t="s">
        <v>86</v>
      </c>
      <c r="B8" s="88">
        <v>7522879.3700000001</v>
      </c>
      <c r="C8" s="88">
        <v>5799072.4900000002</v>
      </c>
      <c r="D8" s="88">
        <v>1474635.06</v>
      </c>
      <c r="E8" s="88">
        <v>129060.59</v>
      </c>
      <c r="F8" s="88">
        <v>5178.7</v>
      </c>
      <c r="G8" s="88">
        <v>110946.92</v>
      </c>
      <c r="H8" s="88">
        <v>0</v>
      </c>
      <c r="I8" s="88">
        <v>3985.61</v>
      </c>
      <c r="J8" s="90"/>
    </row>
    <row r="9" spans="1:10" x14ac:dyDescent="0.2">
      <c r="A9" s="87" t="s">
        <v>87</v>
      </c>
      <c r="B9" s="88">
        <v>7271384.1699999999</v>
      </c>
      <c r="C9" s="88">
        <v>5881077.6699999999</v>
      </c>
      <c r="D9" s="88">
        <v>868752.46</v>
      </c>
      <c r="E9" s="88">
        <v>289604.26</v>
      </c>
      <c r="F9" s="88">
        <v>84855.59</v>
      </c>
      <c r="G9" s="88">
        <v>0</v>
      </c>
      <c r="H9" s="88">
        <v>0</v>
      </c>
      <c r="I9" s="88">
        <v>147094.19</v>
      </c>
      <c r="J9" s="90"/>
    </row>
    <row r="10" spans="1:10" x14ac:dyDescent="0.2">
      <c r="A10" s="91" t="s">
        <v>88</v>
      </c>
      <c r="B10" s="88">
        <v>9642577.7899999991</v>
      </c>
      <c r="C10" s="88">
        <v>7130672.6500000004</v>
      </c>
      <c r="D10" s="88">
        <v>1315418.18</v>
      </c>
      <c r="E10" s="88">
        <v>684904.12</v>
      </c>
      <c r="F10" s="88">
        <v>11853.92</v>
      </c>
      <c r="G10" s="88">
        <v>0</v>
      </c>
      <c r="H10" s="88">
        <v>0</v>
      </c>
      <c r="I10" s="88">
        <v>499728.92</v>
      </c>
      <c r="J10" s="90"/>
    </row>
    <row r="11" spans="1:10" x14ac:dyDescent="0.2">
      <c r="A11" s="91" t="s">
        <v>89</v>
      </c>
      <c r="B11" s="88">
        <v>8414132.9600000009</v>
      </c>
      <c r="C11" s="88">
        <v>6678439.6000000006</v>
      </c>
      <c r="D11" s="88">
        <v>865876.47999999998</v>
      </c>
      <c r="E11" s="88">
        <v>447815.46</v>
      </c>
      <c r="F11" s="88">
        <v>0</v>
      </c>
      <c r="G11" s="88">
        <v>0</v>
      </c>
      <c r="H11" s="88">
        <v>0</v>
      </c>
      <c r="I11" s="88">
        <v>422001.42</v>
      </c>
      <c r="J11" s="90"/>
    </row>
    <row r="12" spans="1:10" x14ac:dyDescent="0.2">
      <c r="A12" s="91" t="s">
        <v>90</v>
      </c>
      <c r="B12" s="88">
        <v>8780908.8000000007</v>
      </c>
      <c r="C12" s="88">
        <v>6947707.2400000002</v>
      </c>
      <c r="D12" s="88">
        <v>1021857.09</v>
      </c>
      <c r="E12" s="88">
        <v>0</v>
      </c>
      <c r="F12" s="88">
        <v>0</v>
      </c>
      <c r="G12" s="88">
        <v>0</v>
      </c>
      <c r="H12" s="88">
        <v>0</v>
      </c>
      <c r="I12" s="88">
        <v>811344.47</v>
      </c>
    </row>
    <row r="14" spans="1:10" x14ac:dyDescent="0.2">
      <c r="A14" s="92" t="s">
        <v>129</v>
      </c>
      <c r="B14" s="93"/>
      <c r="C14" s="93"/>
      <c r="D14" s="93"/>
      <c r="E14" s="93"/>
      <c r="F14" s="93"/>
      <c r="G14" s="94"/>
    </row>
    <row r="15" spans="1:10" x14ac:dyDescent="0.2">
      <c r="A15" s="95">
        <v>41852</v>
      </c>
      <c r="B15" s="96">
        <f>E6</f>
        <v>57735.3</v>
      </c>
      <c r="C15" s="96"/>
      <c r="D15" s="5"/>
      <c r="E15" s="5"/>
      <c r="F15" s="5"/>
      <c r="G15" s="97"/>
    </row>
    <row r="16" spans="1:10" x14ac:dyDescent="0.2">
      <c r="A16" s="95">
        <v>41883</v>
      </c>
      <c r="B16" s="96">
        <f>E7</f>
        <v>109448.08</v>
      </c>
      <c r="C16" s="96"/>
      <c r="D16" s="5"/>
      <c r="E16" s="5"/>
      <c r="F16" s="5"/>
      <c r="G16" s="97"/>
      <c r="I16" s="2"/>
    </row>
    <row r="17" spans="1:9" x14ac:dyDescent="0.2">
      <c r="A17" s="95">
        <v>41913</v>
      </c>
      <c r="B17" s="96">
        <f>E8</f>
        <v>129060.59</v>
      </c>
      <c r="C17" s="96"/>
      <c r="D17" s="5"/>
      <c r="E17" s="5"/>
      <c r="F17" s="5"/>
      <c r="G17" s="97"/>
      <c r="I17" s="2"/>
    </row>
    <row r="18" spans="1:9" x14ac:dyDescent="0.2">
      <c r="A18" s="95">
        <v>41944</v>
      </c>
      <c r="B18" s="96">
        <f>E9</f>
        <v>289604.26</v>
      </c>
      <c r="C18" s="96"/>
      <c r="D18" s="5"/>
      <c r="E18" s="5"/>
      <c r="F18" s="5"/>
      <c r="G18" s="97"/>
    </row>
    <row r="19" spans="1:9" x14ac:dyDescent="0.2">
      <c r="A19" s="95">
        <v>41974</v>
      </c>
      <c r="B19" s="130">
        <f>E10</f>
        <v>684904.12</v>
      </c>
      <c r="C19" s="5"/>
      <c r="D19" s="5"/>
      <c r="E19" s="5"/>
      <c r="F19" s="5"/>
      <c r="G19" s="97"/>
    </row>
    <row r="20" spans="1:9" x14ac:dyDescent="0.2">
      <c r="A20" s="98">
        <v>42005</v>
      </c>
      <c r="B20" s="131">
        <f>E11+I11</f>
        <v>869816.88</v>
      </c>
      <c r="C20" s="100"/>
      <c r="D20" s="100"/>
      <c r="E20" s="100"/>
      <c r="F20" s="100"/>
      <c r="G20" s="101"/>
    </row>
    <row r="22" spans="1:9" x14ac:dyDescent="0.2">
      <c r="A22" s="102" t="s">
        <v>92</v>
      </c>
      <c r="B22" s="93"/>
      <c r="C22" s="93"/>
      <c r="D22" s="93"/>
      <c r="E22" s="93"/>
      <c r="F22" s="93"/>
      <c r="G22" s="94"/>
    </row>
    <row r="23" spans="1:9" x14ac:dyDescent="0.2">
      <c r="A23" s="103">
        <v>41852</v>
      </c>
      <c r="B23" s="104">
        <f t="shared" ref="B23:B28" si="0">B6</f>
        <v>4492762.01</v>
      </c>
      <c r="C23" s="5"/>
      <c r="D23" s="5"/>
      <c r="E23" s="5"/>
      <c r="F23" s="5"/>
      <c r="G23" s="97"/>
    </row>
    <row r="24" spans="1:9" x14ac:dyDescent="0.2">
      <c r="A24" s="103">
        <v>41883</v>
      </c>
      <c r="B24" s="104">
        <f t="shared" si="0"/>
        <v>5981198.5700000003</v>
      </c>
      <c r="C24" s="5"/>
      <c r="D24" s="5"/>
      <c r="E24" s="5"/>
      <c r="F24" s="5"/>
      <c r="G24" s="97"/>
    </row>
    <row r="25" spans="1:9" x14ac:dyDescent="0.2">
      <c r="A25" s="95">
        <v>41913</v>
      </c>
      <c r="B25" s="104">
        <f t="shared" si="0"/>
        <v>7522879.3700000001</v>
      </c>
      <c r="C25" s="5"/>
      <c r="D25" s="5"/>
      <c r="E25" s="5"/>
      <c r="F25" s="5"/>
      <c r="G25" s="97"/>
    </row>
    <row r="26" spans="1:9" x14ac:dyDescent="0.2">
      <c r="A26" s="95">
        <v>41944</v>
      </c>
      <c r="B26" s="104">
        <f t="shared" si="0"/>
        <v>7271384.1699999999</v>
      </c>
      <c r="C26" s="5"/>
      <c r="D26" s="5"/>
      <c r="E26" s="5"/>
      <c r="F26" s="5"/>
      <c r="G26" s="97"/>
    </row>
    <row r="27" spans="1:9" x14ac:dyDescent="0.2">
      <c r="A27" s="95">
        <v>41974</v>
      </c>
      <c r="B27" s="104">
        <f t="shared" si="0"/>
        <v>9642577.7899999991</v>
      </c>
      <c r="C27" s="5"/>
      <c r="D27" s="5"/>
      <c r="E27" s="5"/>
      <c r="F27" s="5"/>
      <c r="G27" s="97"/>
    </row>
    <row r="28" spans="1:9" x14ac:dyDescent="0.2">
      <c r="A28" s="98">
        <v>42005</v>
      </c>
      <c r="B28" s="105">
        <f t="shared" si="0"/>
        <v>8414132.9600000009</v>
      </c>
      <c r="C28" s="100"/>
      <c r="D28" s="100"/>
      <c r="E28" s="100"/>
      <c r="F28" s="100"/>
      <c r="G28" s="101"/>
    </row>
    <row r="29" spans="1:9" x14ac:dyDescent="0.2">
      <c r="A29" s="132"/>
    </row>
    <row r="30" spans="1:9" ht="12" thickBot="1" x14ac:dyDescent="0.25"/>
    <row r="31" spans="1:9" ht="12" thickBot="1" x14ac:dyDescent="0.25">
      <c r="A31" s="133" t="s">
        <v>130</v>
      </c>
      <c r="B31" s="106"/>
      <c r="C31" s="107">
        <v>1.67E-2</v>
      </c>
    </row>
    <row r="32" spans="1:9" ht="12" thickBot="1" x14ac:dyDescent="0.25">
      <c r="A32" s="133" t="s">
        <v>131</v>
      </c>
      <c r="B32" s="106"/>
      <c r="C32" s="107">
        <v>3.2500000000000001E-2</v>
      </c>
    </row>
    <row r="33" spans="1:9" ht="12" thickBot="1" x14ac:dyDescent="0.25">
      <c r="A33" s="133" t="s">
        <v>132</v>
      </c>
      <c r="B33" s="106"/>
      <c r="C33" s="107">
        <v>6.5600000000000006E-2</v>
      </c>
    </row>
    <row r="34" spans="1:9" ht="12" thickBot="1" x14ac:dyDescent="0.25">
      <c r="A34" s="133" t="s">
        <v>133</v>
      </c>
      <c r="B34" s="106"/>
      <c r="C34" s="134">
        <f>SUM(B18:B20)/SUM(B26:B28)</f>
        <v>7.2817370032187162E-2</v>
      </c>
    </row>
    <row r="38" spans="1:9" x14ac:dyDescent="0.2">
      <c r="A38" s="148" t="s">
        <v>139</v>
      </c>
      <c r="B38" s="148"/>
      <c r="C38" s="148"/>
      <c r="D38" s="148"/>
      <c r="E38" s="148"/>
      <c r="F38" s="148"/>
      <c r="G38" s="148"/>
      <c r="H38" s="148"/>
      <c r="I38" s="148"/>
    </row>
    <row r="41" spans="1:9" x14ac:dyDescent="0.2">
      <c r="A41" s="85" t="s">
        <v>75</v>
      </c>
      <c r="B41" s="85" t="s">
        <v>76</v>
      </c>
      <c r="C41" s="85" t="s">
        <v>77</v>
      </c>
      <c r="D41" s="85" t="s">
        <v>78</v>
      </c>
      <c r="E41" s="85" t="s">
        <v>79</v>
      </c>
      <c r="F41" s="85" t="s">
        <v>80</v>
      </c>
      <c r="G41" s="85" t="s">
        <v>81</v>
      </c>
      <c r="H41" s="85" t="s">
        <v>82</v>
      </c>
      <c r="I41" s="85" t="s">
        <v>83</v>
      </c>
    </row>
    <row r="42" spans="1:9" x14ac:dyDescent="0.2">
      <c r="A42" s="135">
        <v>41821</v>
      </c>
      <c r="B42" s="88">
        <v>3333775.8200000003</v>
      </c>
      <c r="C42" s="88">
        <v>1965090.74</v>
      </c>
      <c r="D42" s="88">
        <v>892473.70000000007</v>
      </c>
      <c r="E42" s="88">
        <v>127626.91</v>
      </c>
      <c r="F42" s="88">
        <v>84378.44</v>
      </c>
      <c r="G42" s="88">
        <v>211501.80000000002</v>
      </c>
      <c r="H42" s="88">
        <v>0</v>
      </c>
      <c r="I42" s="88">
        <v>52704.23</v>
      </c>
    </row>
    <row r="43" spans="1:9" x14ac:dyDescent="0.2">
      <c r="A43" s="87" t="s">
        <v>84</v>
      </c>
      <c r="B43" s="88">
        <v>4492762.01</v>
      </c>
      <c r="C43" s="88">
        <v>3566936.15</v>
      </c>
      <c r="D43" s="88">
        <v>842372.07000000007</v>
      </c>
      <c r="E43" s="88">
        <v>57735.3</v>
      </c>
      <c r="F43" s="88">
        <v>24262.670000000002</v>
      </c>
      <c r="G43" s="88">
        <v>1455.82</v>
      </c>
      <c r="H43" s="88">
        <v>0</v>
      </c>
      <c r="I43" s="88">
        <v>0</v>
      </c>
    </row>
    <row r="44" spans="1:9" x14ac:dyDescent="0.2">
      <c r="A44" s="87" t="s">
        <v>85</v>
      </c>
      <c r="B44" s="88">
        <v>5981198.5700000003</v>
      </c>
      <c r="C44" s="88">
        <v>4987098.07</v>
      </c>
      <c r="D44" s="88">
        <v>854114.43</v>
      </c>
      <c r="E44" s="88">
        <v>109448.08</v>
      </c>
      <c r="F44" s="88">
        <v>27546.560000000001</v>
      </c>
      <c r="G44" s="88">
        <v>2991.43</v>
      </c>
      <c r="H44" s="88">
        <v>0</v>
      </c>
      <c r="I44" s="88">
        <v>0</v>
      </c>
    </row>
    <row r="45" spans="1:9" x14ac:dyDescent="0.2">
      <c r="A45" s="87" t="s">
        <v>86</v>
      </c>
      <c r="B45" s="88">
        <v>7522879.3700000001</v>
      </c>
      <c r="C45" s="88">
        <v>5799072.4900000002</v>
      </c>
      <c r="D45" s="88">
        <v>1474635.06</v>
      </c>
      <c r="E45" s="88">
        <v>129060.59</v>
      </c>
      <c r="F45" s="88">
        <v>5178.7</v>
      </c>
      <c r="G45" s="88">
        <v>110946.92</v>
      </c>
      <c r="H45" s="88">
        <v>0</v>
      </c>
      <c r="I45" s="88">
        <v>3985.61</v>
      </c>
    </row>
    <row r="46" spans="1:9" x14ac:dyDescent="0.2">
      <c r="A46" s="87" t="s">
        <v>87</v>
      </c>
      <c r="B46" s="88">
        <v>7271384.1699999999</v>
      </c>
      <c r="C46" s="88">
        <v>5881077.6699999999</v>
      </c>
      <c r="D46" s="88">
        <v>868752.46</v>
      </c>
      <c r="E46" s="88">
        <v>289604.26</v>
      </c>
      <c r="F46" s="88">
        <v>84855.59</v>
      </c>
      <c r="G46" s="88">
        <v>0</v>
      </c>
      <c r="H46" s="88">
        <v>0</v>
      </c>
      <c r="I46" s="88">
        <v>147094.19</v>
      </c>
    </row>
    <row r="47" spans="1:9" x14ac:dyDescent="0.2">
      <c r="A47" s="91" t="s">
        <v>88</v>
      </c>
      <c r="B47" s="88">
        <v>9642577.7899999991</v>
      </c>
      <c r="C47" s="88">
        <v>7130672.6500000004</v>
      </c>
      <c r="D47" s="88">
        <v>1315418.18</v>
      </c>
      <c r="E47" s="88">
        <v>684904.12</v>
      </c>
      <c r="F47" s="88">
        <v>11853.92</v>
      </c>
      <c r="G47" s="88">
        <v>0</v>
      </c>
      <c r="H47" s="88">
        <v>0</v>
      </c>
      <c r="I47" s="88">
        <v>499728.92</v>
      </c>
    </row>
    <row r="48" spans="1:9" x14ac:dyDescent="0.2">
      <c r="A48" s="91" t="s">
        <v>89</v>
      </c>
      <c r="B48" s="88">
        <v>8414132.9600000009</v>
      </c>
      <c r="C48" s="88">
        <v>6678439.6000000006</v>
      </c>
      <c r="D48" s="88">
        <v>865876.47999999998</v>
      </c>
      <c r="E48" s="88">
        <v>447815.46</v>
      </c>
      <c r="F48" s="88">
        <v>0</v>
      </c>
      <c r="G48" s="88">
        <v>0</v>
      </c>
      <c r="H48" s="88">
        <v>0</v>
      </c>
      <c r="I48" s="88">
        <v>422001.42</v>
      </c>
    </row>
    <row r="49" spans="1:9" x14ac:dyDescent="0.2">
      <c r="A49" s="91" t="s">
        <v>90</v>
      </c>
      <c r="B49" s="88">
        <v>8780908.8000000007</v>
      </c>
      <c r="C49" s="88">
        <v>6947707.2400000002</v>
      </c>
      <c r="D49" s="88">
        <v>1021857.09</v>
      </c>
      <c r="E49" s="88">
        <v>0</v>
      </c>
      <c r="F49" s="88">
        <v>0</v>
      </c>
      <c r="G49" s="88">
        <v>0</v>
      </c>
      <c r="H49" s="88">
        <v>0</v>
      </c>
      <c r="I49" s="88">
        <v>811344.47</v>
      </c>
    </row>
    <row r="50" spans="1:9" x14ac:dyDescent="0.2">
      <c r="A50" s="136"/>
      <c r="B50" s="137"/>
      <c r="C50" s="137"/>
      <c r="D50" s="137"/>
      <c r="E50" s="137"/>
      <c r="F50" s="137"/>
      <c r="G50" s="137"/>
      <c r="H50" s="137"/>
      <c r="I50" s="104"/>
    </row>
    <row r="51" spans="1:9" x14ac:dyDescent="0.2">
      <c r="A51" s="92" t="s">
        <v>91</v>
      </c>
      <c r="B51" s="93"/>
      <c r="C51" s="93"/>
      <c r="D51" s="93"/>
      <c r="E51" s="93"/>
      <c r="F51" s="93"/>
      <c r="G51" s="94"/>
    </row>
    <row r="52" spans="1:9" x14ac:dyDescent="0.2">
      <c r="A52" s="95">
        <v>41821</v>
      </c>
      <c r="B52" s="96">
        <f t="shared" ref="B52:B57" si="1">F42+G42+H42+I42</f>
        <v>348584.47</v>
      </c>
      <c r="C52" s="5"/>
      <c r="D52" s="5"/>
      <c r="E52" s="5"/>
      <c r="F52" s="5"/>
      <c r="G52" s="97"/>
    </row>
    <row r="53" spans="1:9" x14ac:dyDescent="0.2">
      <c r="A53" s="95">
        <v>41852</v>
      </c>
      <c r="B53" s="96">
        <f t="shared" si="1"/>
        <v>25718.49</v>
      </c>
      <c r="C53" s="5"/>
      <c r="D53" s="5"/>
      <c r="E53" s="5"/>
      <c r="F53" s="5"/>
      <c r="G53" s="97"/>
    </row>
    <row r="54" spans="1:9" x14ac:dyDescent="0.2">
      <c r="A54" s="95">
        <v>41883</v>
      </c>
      <c r="B54" s="96">
        <f t="shared" si="1"/>
        <v>30537.99</v>
      </c>
      <c r="C54" s="5"/>
      <c r="D54" s="5"/>
      <c r="E54" s="5"/>
      <c r="F54" s="5"/>
      <c r="G54" s="97"/>
    </row>
    <row r="55" spans="1:9" x14ac:dyDescent="0.2">
      <c r="A55" s="95">
        <v>41913</v>
      </c>
      <c r="B55" s="96">
        <f t="shared" si="1"/>
        <v>120111.23</v>
      </c>
      <c r="C55" s="5"/>
      <c r="D55" s="5"/>
      <c r="E55" s="5"/>
      <c r="F55" s="5"/>
      <c r="G55" s="97"/>
    </row>
    <row r="56" spans="1:9" x14ac:dyDescent="0.2">
      <c r="A56" s="95">
        <v>41944</v>
      </c>
      <c r="B56" s="96">
        <f t="shared" si="1"/>
        <v>231949.78</v>
      </c>
      <c r="C56" s="5"/>
      <c r="D56" s="5"/>
      <c r="E56" s="5"/>
      <c r="F56" s="5"/>
      <c r="G56" s="97"/>
    </row>
    <row r="57" spans="1:9" x14ac:dyDescent="0.2">
      <c r="A57" s="95">
        <v>41974</v>
      </c>
      <c r="B57" s="96">
        <f t="shared" si="1"/>
        <v>511582.83999999997</v>
      </c>
      <c r="C57" s="5"/>
      <c r="D57" s="5"/>
      <c r="E57" s="5"/>
      <c r="F57" s="5"/>
      <c r="G57" s="97"/>
    </row>
    <row r="58" spans="1:9" x14ac:dyDescent="0.2">
      <c r="A58" s="98">
        <v>42005</v>
      </c>
      <c r="B58" s="99">
        <f>F48+G48+H48+I48</f>
        <v>422001.42</v>
      </c>
      <c r="C58" s="100"/>
      <c r="D58" s="100"/>
      <c r="E58" s="100"/>
      <c r="F58" s="100"/>
      <c r="G58" s="101"/>
    </row>
    <row r="60" spans="1:9" x14ac:dyDescent="0.2">
      <c r="A60" s="102" t="s">
        <v>92</v>
      </c>
      <c r="B60" s="93"/>
      <c r="C60" s="93"/>
      <c r="D60" s="93"/>
      <c r="E60" s="93"/>
      <c r="F60" s="93"/>
      <c r="G60" s="94"/>
    </row>
    <row r="61" spans="1:9" x14ac:dyDescent="0.2">
      <c r="A61" s="103">
        <v>41821</v>
      </c>
      <c r="B61" s="104">
        <f t="shared" ref="B61:B67" si="2">B42</f>
        <v>3333775.8200000003</v>
      </c>
      <c r="C61" s="5"/>
      <c r="D61" s="5"/>
      <c r="E61" s="5"/>
      <c r="F61" s="5"/>
      <c r="G61" s="97"/>
    </row>
    <row r="62" spans="1:9" x14ac:dyDescent="0.2">
      <c r="A62" s="103">
        <v>41852</v>
      </c>
      <c r="B62" s="104">
        <f t="shared" si="2"/>
        <v>4492762.01</v>
      </c>
      <c r="C62" s="5"/>
      <c r="D62" s="5"/>
      <c r="E62" s="5"/>
      <c r="F62" s="5"/>
      <c r="G62" s="97"/>
    </row>
    <row r="63" spans="1:9" x14ac:dyDescent="0.2">
      <c r="A63" s="103">
        <v>41883</v>
      </c>
      <c r="B63" s="104">
        <f t="shared" si="2"/>
        <v>5981198.5700000003</v>
      </c>
      <c r="C63" s="5"/>
      <c r="D63" s="5"/>
      <c r="E63" s="5"/>
      <c r="F63" s="5"/>
      <c r="G63" s="97"/>
    </row>
    <row r="64" spans="1:9" x14ac:dyDescent="0.2">
      <c r="A64" s="95">
        <v>41913</v>
      </c>
      <c r="B64" s="104">
        <f t="shared" si="2"/>
        <v>7522879.3700000001</v>
      </c>
      <c r="C64" s="5"/>
      <c r="D64" s="5"/>
      <c r="E64" s="5"/>
      <c r="F64" s="5"/>
      <c r="G64" s="97"/>
    </row>
    <row r="65" spans="1:7" x14ac:dyDescent="0.2">
      <c r="A65" s="95">
        <v>41944</v>
      </c>
      <c r="B65" s="104">
        <f t="shared" si="2"/>
        <v>7271384.1699999999</v>
      </c>
      <c r="C65" s="5"/>
      <c r="D65" s="5"/>
      <c r="E65" s="5"/>
      <c r="F65" s="5"/>
      <c r="G65" s="97"/>
    </row>
    <row r="66" spans="1:7" x14ac:dyDescent="0.2">
      <c r="A66" s="95">
        <v>41974</v>
      </c>
      <c r="B66" s="104">
        <f t="shared" si="2"/>
        <v>9642577.7899999991</v>
      </c>
      <c r="C66" s="5"/>
      <c r="D66" s="5"/>
      <c r="E66" s="5"/>
      <c r="F66" s="5"/>
      <c r="G66" s="97"/>
    </row>
    <row r="67" spans="1:7" x14ac:dyDescent="0.2">
      <c r="A67" s="98">
        <v>42005</v>
      </c>
      <c r="B67" s="105">
        <f t="shared" si="2"/>
        <v>8414132.9600000009</v>
      </c>
      <c r="C67" s="100"/>
      <c r="D67" s="100"/>
      <c r="E67" s="100"/>
      <c r="F67" s="100"/>
      <c r="G67" s="101"/>
    </row>
    <row r="68" spans="1:7" ht="12" thickBot="1" x14ac:dyDescent="0.25"/>
    <row r="69" spans="1:7" ht="12" thickBot="1" x14ac:dyDescent="0.25">
      <c r="A69" s="133" t="s">
        <v>134</v>
      </c>
      <c r="B69" s="106"/>
      <c r="C69" s="107">
        <f>SUM(B52:B54)/SUM(B61:B63)</f>
        <v>2.9319863754061815E-2</v>
      </c>
    </row>
    <row r="70" spans="1:7" ht="12" thickBot="1" x14ac:dyDescent="0.25">
      <c r="A70" s="133" t="s">
        <v>135</v>
      </c>
      <c r="B70" s="106"/>
      <c r="C70" s="107">
        <f>SUM(B53:B55)/SUM(B62:B64)</f>
        <v>9.79992656988651E-3</v>
      </c>
    </row>
    <row r="71" spans="1:7" ht="12" thickBot="1" x14ac:dyDescent="0.25">
      <c r="A71" s="133" t="s">
        <v>136</v>
      </c>
      <c r="B71" s="106"/>
      <c r="C71" s="107">
        <f>SUM(B54:B56)/SUM(B63:B65)</f>
        <v>1.8415908054138584E-2</v>
      </c>
    </row>
    <row r="72" spans="1:7" ht="12" thickBot="1" x14ac:dyDescent="0.25">
      <c r="A72" s="133" t="s">
        <v>137</v>
      </c>
      <c r="B72" s="106"/>
      <c r="C72" s="107">
        <f>SUM(B55:B57)/SUM(B64:B66)</f>
        <v>3.5341877386573024E-2</v>
      </c>
    </row>
  </sheetData>
  <mergeCells count="2">
    <mergeCell ref="A1:I1"/>
    <mergeCell ref="A38:I38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7"/>
  <sheetViews>
    <sheetView workbookViewId="0">
      <selection activeCell="D4" sqref="D4"/>
    </sheetView>
  </sheetViews>
  <sheetFormatPr defaultRowHeight="15" x14ac:dyDescent="0.25"/>
  <cols>
    <col min="1" max="1" width="43.42578125" bestFit="1" customWidth="1"/>
    <col min="2" max="2" width="15" customWidth="1"/>
    <col min="3" max="3" width="20.7109375" customWidth="1"/>
    <col min="4" max="4" width="20" bestFit="1" customWidth="1"/>
    <col min="5" max="5" width="17" bestFit="1" customWidth="1"/>
    <col min="6" max="6" width="19.42578125" bestFit="1" customWidth="1"/>
  </cols>
  <sheetData>
    <row r="1" spans="1:6" x14ac:dyDescent="0.25">
      <c r="A1" t="s">
        <v>145</v>
      </c>
    </row>
    <row r="3" spans="1:6" x14ac:dyDescent="0.25">
      <c r="A3" t="s">
        <v>146</v>
      </c>
      <c r="B3" t="s">
        <v>147</v>
      </c>
      <c r="C3" t="s">
        <v>148</v>
      </c>
      <c r="D3" t="s">
        <v>149</v>
      </c>
      <c r="E3" t="s">
        <v>150</v>
      </c>
      <c r="F3" t="s">
        <v>151</v>
      </c>
    </row>
    <row r="4" spans="1:6" x14ac:dyDescent="0.25">
      <c r="A4" s="165">
        <v>42137</v>
      </c>
      <c r="B4">
        <v>124</v>
      </c>
      <c r="C4" s="165">
        <v>42302</v>
      </c>
      <c r="D4">
        <v>31.66</v>
      </c>
      <c r="E4">
        <v>11784588.25</v>
      </c>
      <c r="F4" s="165">
        <v>42658</v>
      </c>
    </row>
    <row r="6" spans="1:6" x14ac:dyDescent="0.25">
      <c r="A6" t="s">
        <v>152</v>
      </c>
    </row>
    <row r="8" spans="1:6" x14ac:dyDescent="0.25">
      <c r="A8" t="s">
        <v>153</v>
      </c>
      <c r="B8" t="s">
        <v>48</v>
      </c>
    </row>
    <row r="9" spans="1:6" x14ac:dyDescent="0.25">
      <c r="A9" t="s">
        <v>154</v>
      </c>
      <c r="B9">
        <v>2979772.78</v>
      </c>
    </row>
    <row r="10" spans="1:6" x14ac:dyDescent="0.25">
      <c r="A10" t="s">
        <v>155</v>
      </c>
      <c r="B10">
        <v>2815163.45</v>
      </c>
    </row>
    <row r="11" spans="1:6" x14ac:dyDescent="0.25">
      <c r="A11" t="s">
        <v>156</v>
      </c>
      <c r="B11">
        <v>2798922.87</v>
      </c>
    </row>
    <row r="12" spans="1:6" x14ac:dyDescent="0.25">
      <c r="A12" t="s">
        <v>157</v>
      </c>
      <c r="B12">
        <v>1915276.91</v>
      </c>
    </row>
    <row r="13" spans="1:6" x14ac:dyDescent="0.25">
      <c r="A13" t="s">
        <v>158</v>
      </c>
      <c r="B13">
        <v>1896348.64</v>
      </c>
    </row>
    <row r="15" spans="1:6" x14ac:dyDescent="0.25">
      <c r="A15" t="s">
        <v>159</v>
      </c>
    </row>
    <row r="17" spans="1:3" x14ac:dyDescent="0.25">
      <c r="A17" t="s">
        <v>153</v>
      </c>
      <c r="B17" t="s">
        <v>48</v>
      </c>
    </row>
    <row r="18" spans="1:3" x14ac:dyDescent="0.25">
      <c r="A18" t="s">
        <v>160</v>
      </c>
      <c r="B18">
        <v>2099705.5</v>
      </c>
    </row>
    <row r="19" spans="1:3" x14ac:dyDescent="0.25">
      <c r="A19" t="s">
        <v>161</v>
      </c>
      <c r="B19">
        <v>1084000</v>
      </c>
    </row>
    <row r="20" spans="1:3" x14ac:dyDescent="0.25">
      <c r="A20" t="s">
        <v>162</v>
      </c>
      <c r="B20">
        <v>1000439.89</v>
      </c>
    </row>
    <row r="21" spans="1:3" x14ac:dyDescent="0.25">
      <c r="A21" t="s">
        <v>163</v>
      </c>
      <c r="B21">
        <v>849941.5</v>
      </c>
    </row>
    <row r="22" spans="1:3" x14ac:dyDescent="0.25">
      <c r="A22" t="s">
        <v>164</v>
      </c>
      <c r="B22">
        <v>619471</v>
      </c>
    </row>
    <row r="24" spans="1:3" x14ac:dyDescent="0.25">
      <c r="A24" t="s">
        <v>165</v>
      </c>
    </row>
    <row r="26" spans="1:3" x14ac:dyDescent="0.25">
      <c r="A26" t="s">
        <v>166</v>
      </c>
      <c r="B26" t="s">
        <v>48</v>
      </c>
      <c r="C26" t="s">
        <v>142</v>
      </c>
    </row>
    <row r="27" spans="1:3" x14ac:dyDescent="0.25">
      <c r="A27" t="s">
        <v>144</v>
      </c>
      <c r="B27">
        <v>89531583.450000003</v>
      </c>
      <c r="C27">
        <v>759395.13</v>
      </c>
    </row>
    <row r="28" spans="1:3" x14ac:dyDescent="0.25">
      <c r="A28" t="s">
        <v>47</v>
      </c>
      <c r="B28">
        <v>8120553.7199999997</v>
      </c>
      <c r="C28">
        <v>662850.37</v>
      </c>
    </row>
    <row r="29" spans="1:3" x14ac:dyDescent="0.25">
      <c r="A29" t="s">
        <v>49</v>
      </c>
      <c r="B29">
        <v>5576403.25</v>
      </c>
      <c r="C29">
        <v>5003833.45</v>
      </c>
    </row>
    <row r="30" spans="1:3" x14ac:dyDescent="0.25">
      <c r="A30" t="s">
        <v>50</v>
      </c>
      <c r="B30">
        <v>4634659.08</v>
      </c>
      <c r="C30">
        <v>4634659.08</v>
      </c>
    </row>
    <row r="31" spans="1:3" x14ac:dyDescent="0.25">
      <c r="A31" t="s">
        <v>51</v>
      </c>
      <c r="B31">
        <v>1463780.35</v>
      </c>
      <c r="C31">
        <v>1463780.35</v>
      </c>
    </row>
    <row r="32" spans="1:3" x14ac:dyDescent="0.25">
      <c r="A32" t="s">
        <v>52</v>
      </c>
      <c r="B32">
        <v>651334.44999999995</v>
      </c>
      <c r="C32">
        <v>651334.44999999995</v>
      </c>
    </row>
    <row r="33" spans="1:3" x14ac:dyDescent="0.25">
      <c r="A33" t="s">
        <v>53</v>
      </c>
      <c r="B33">
        <v>1913951.15</v>
      </c>
      <c r="C33">
        <v>1913951.15</v>
      </c>
    </row>
    <row r="34" spans="1:3" x14ac:dyDescent="0.25">
      <c r="A34" t="s">
        <v>54</v>
      </c>
      <c r="B34">
        <v>3861054.71</v>
      </c>
      <c r="C34">
        <v>3861054.71</v>
      </c>
    </row>
    <row r="35" spans="1:3" x14ac:dyDescent="0.25">
      <c r="A35" t="s">
        <v>56</v>
      </c>
      <c r="B35">
        <v>3823371.88</v>
      </c>
      <c r="C35">
        <v>3823371.88</v>
      </c>
    </row>
    <row r="36" spans="1:3" x14ac:dyDescent="0.25">
      <c r="A36" t="s">
        <v>57</v>
      </c>
      <c r="B36">
        <v>1186095.53</v>
      </c>
      <c r="C36">
        <v>1186095.53</v>
      </c>
    </row>
    <row r="37" spans="1:3" x14ac:dyDescent="0.25">
      <c r="A37" t="s">
        <v>58</v>
      </c>
      <c r="B37">
        <v>20178.009999999998</v>
      </c>
      <c r="C37">
        <v>20178.009999999998</v>
      </c>
    </row>
  </sheetData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C1:AI126"/>
  <sheetViews>
    <sheetView showGridLines="0" tabSelected="1" workbookViewId="0">
      <selection activeCell="F23" sqref="F23"/>
    </sheetView>
  </sheetViews>
  <sheetFormatPr defaultRowHeight="11.25" x14ac:dyDescent="0.2"/>
  <cols>
    <col min="1" max="3" width="0.85546875" style="1" customWidth="1"/>
    <col min="4" max="4" width="12.28515625" style="1" customWidth="1"/>
    <col min="5" max="5" width="15.42578125" style="1" customWidth="1"/>
    <col min="6" max="8" width="15.5703125" style="1" customWidth="1"/>
    <col min="9" max="9" width="8" style="1" bestFit="1" customWidth="1"/>
    <col min="10" max="14" width="0.85546875" style="1" customWidth="1"/>
    <col min="15" max="15" width="9.140625" style="1"/>
    <col min="16" max="16" width="11.7109375" style="1" bestFit="1" customWidth="1"/>
    <col min="17" max="18" width="10.85546875" style="1" customWidth="1"/>
    <col min="19" max="24" width="9.140625" style="1"/>
    <col min="25" max="25" width="10.85546875" style="1" customWidth="1"/>
    <col min="26" max="26" width="12.85546875" style="1" bestFit="1" customWidth="1"/>
    <col min="27" max="27" width="10.42578125" style="1" bestFit="1" customWidth="1"/>
    <col min="28" max="28" width="1.7109375" style="1" customWidth="1"/>
    <col min="29" max="29" width="8.5703125" style="1" customWidth="1"/>
    <col min="30" max="30" width="7.7109375" style="1" customWidth="1"/>
    <col min="31" max="31" width="11.7109375" style="1" bestFit="1" customWidth="1"/>
    <col min="32" max="32" width="12.85546875" style="1" bestFit="1" customWidth="1"/>
    <col min="33" max="33" width="11.7109375" style="1" bestFit="1" customWidth="1"/>
    <col min="34" max="34" width="10.42578125" style="1" bestFit="1" customWidth="1"/>
    <col min="35" max="35" width="9.85546875" style="1" customWidth="1"/>
    <col min="36" max="36" width="9.140625" style="1"/>
    <col min="37" max="37" width="10.42578125" style="1" bestFit="1" customWidth="1"/>
    <col min="38" max="38" width="10.42578125" style="1" customWidth="1"/>
    <col min="39" max="16384" width="9.140625" style="1"/>
  </cols>
  <sheetData>
    <row r="1" spans="4:33" x14ac:dyDescent="0.2">
      <c r="E1" s="3" t="s">
        <v>113</v>
      </c>
      <c r="F1" s="126">
        <f>Tabela_orderbysql_orderbysql_netfactor_checagemTEMP[DataDaExistencia]</f>
        <v>42137</v>
      </c>
    </row>
    <row r="2" spans="4:33" ht="5.0999999999999996" customHeight="1" x14ac:dyDescent="0.2"/>
    <row r="3" spans="4:33" ht="5.0999999999999996" customHeight="1" x14ac:dyDescent="0.2"/>
    <row r="4" spans="4:33" ht="12.75" x14ac:dyDescent="0.2">
      <c r="D4" s="7" t="s">
        <v>114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 t="s">
        <v>1</v>
      </c>
    </row>
    <row r="5" spans="4:33" x14ac:dyDescent="0.2"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</row>
    <row r="6" spans="4:33" x14ac:dyDescent="0.2">
      <c r="D6" s="64" t="s">
        <v>115</v>
      </c>
      <c r="E6" s="64"/>
      <c r="F6" s="64"/>
      <c r="O6" s="64" t="s">
        <v>116</v>
      </c>
      <c r="P6" s="64"/>
      <c r="Q6" s="64"/>
      <c r="R6" s="64"/>
      <c r="S6" s="64"/>
      <c r="T6" s="64"/>
      <c r="U6" s="65"/>
      <c r="V6" s="65"/>
      <c r="W6" s="65"/>
      <c r="X6" s="65"/>
      <c r="Y6" s="65"/>
      <c r="Z6" s="65"/>
      <c r="AA6" s="65"/>
      <c r="AB6" s="65"/>
      <c r="AC6" s="64" t="s">
        <v>112</v>
      </c>
      <c r="AD6" s="64"/>
      <c r="AE6" s="64"/>
      <c r="AF6" s="64"/>
      <c r="AG6" s="65"/>
    </row>
    <row r="8" spans="4:33" x14ac:dyDescent="0.2">
      <c r="D8" s="10" t="s">
        <v>10</v>
      </c>
      <c r="E8" s="11"/>
      <c r="F8" s="12" t="s">
        <v>121</v>
      </c>
      <c r="G8" s="12" t="s">
        <v>122</v>
      </c>
      <c r="H8" s="13"/>
      <c r="I8" s="12"/>
      <c r="J8" s="12"/>
      <c r="K8" s="13"/>
      <c r="O8" s="154" t="s">
        <v>6</v>
      </c>
      <c r="P8" s="154"/>
      <c r="Q8" s="154" t="s">
        <v>7</v>
      </c>
      <c r="R8" s="154" t="s">
        <v>8</v>
      </c>
      <c r="AC8" s="9" t="s">
        <v>9</v>
      </c>
      <c r="AD8" s="8"/>
      <c r="AE8" s="8"/>
      <c r="AF8" s="8"/>
      <c r="AG8" s="8"/>
    </row>
    <row r="9" spans="4:33" x14ac:dyDescent="0.2">
      <c r="E9" s="4"/>
      <c r="O9" s="155"/>
      <c r="P9" s="155"/>
      <c r="Q9" s="155"/>
      <c r="R9" s="155"/>
    </row>
    <row r="10" spans="4:33" ht="11.25" customHeight="1" x14ac:dyDescent="0.2">
      <c r="D10" s="17"/>
      <c r="E10" s="18" t="s">
        <v>16</v>
      </c>
      <c r="F10" s="14">
        <v>5</v>
      </c>
      <c r="G10" s="14">
        <v>3</v>
      </c>
      <c r="H10" s="14"/>
      <c r="I10" s="14"/>
      <c r="J10" s="14"/>
      <c r="K10" s="14"/>
      <c r="AC10" s="153" t="s">
        <v>11</v>
      </c>
      <c r="AD10" s="156" t="s">
        <v>12</v>
      </c>
      <c r="AE10" s="156" t="s">
        <v>13</v>
      </c>
      <c r="AF10" s="153" t="s">
        <v>14</v>
      </c>
      <c r="AG10" s="153" t="s">
        <v>11</v>
      </c>
    </row>
    <row r="11" spans="4:33" x14ac:dyDescent="0.2">
      <c r="D11" s="26"/>
      <c r="E11" s="27" t="s">
        <v>18</v>
      </c>
      <c r="F11" s="19">
        <v>1000000</v>
      </c>
      <c r="G11" s="19">
        <v>1000000</v>
      </c>
      <c r="H11" s="19"/>
      <c r="I11" s="19"/>
      <c r="J11" s="14"/>
      <c r="K11" s="19"/>
      <c r="O11" s="14" t="s">
        <v>15</v>
      </c>
      <c r="P11" s="15">
        <v>-660592.37000000011</v>
      </c>
      <c r="Q11" s="16">
        <v>-7.2006131574091858E-2</v>
      </c>
      <c r="R11" s="16">
        <v>-7.7477671365543976</v>
      </c>
      <c r="AC11" s="153"/>
      <c r="AD11" s="156"/>
      <c r="AE11" s="156"/>
      <c r="AF11" s="153"/>
      <c r="AG11" s="153"/>
    </row>
    <row r="12" spans="4:33" x14ac:dyDescent="0.2">
      <c r="D12" s="26"/>
      <c r="E12" s="27" t="s">
        <v>20</v>
      </c>
      <c r="F12" s="19">
        <f>F35</f>
        <v>4999999.99</v>
      </c>
      <c r="G12" s="19">
        <f>G35</f>
        <v>3000000</v>
      </c>
      <c r="H12" s="19"/>
      <c r="I12" s="19"/>
      <c r="J12" s="14"/>
      <c r="K12" s="19"/>
      <c r="O12" s="14" t="s">
        <v>17</v>
      </c>
      <c r="P12" s="19">
        <v>529924.87999999989</v>
      </c>
      <c r="Q12" s="20">
        <v>6.0324812807270423E-2</v>
      </c>
      <c r="R12" s="20">
        <v>7.368035190615835</v>
      </c>
      <c r="AC12" s="21">
        <v>40544</v>
      </c>
      <c r="AD12" s="22"/>
      <c r="AE12" s="23">
        <v>0</v>
      </c>
      <c r="AF12" s="24">
        <v>0</v>
      </c>
      <c r="AG12" s="25">
        <v>0</v>
      </c>
    </row>
    <row r="13" spans="4:33" x14ac:dyDescent="0.2">
      <c r="D13" s="26"/>
      <c r="E13" s="27" t="s">
        <v>22</v>
      </c>
      <c r="F13" s="38">
        <f>ROUND(F10*F11-F12,0)</f>
        <v>0</v>
      </c>
      <c r="G13" s="38">
        <f>ROUND(G10*G11-G12,0)</f>
        <v>0</v>
      </c>
      <c r="H13" s="19"/>
      <c r="I13" s="19"/>
      <c r="J13" s="14"/>
      <c r="K13" s="19"/>
      <c r="O13" s="14" t="s">
        <v>19</v>
      </c>
      <c r="P13" s="19">
        <v>295134.58000000007</v>
      </c>
      <c r="Q13" s="20">
        <v>3.678481927710564E-2</v>
      </c>
      <c r="R13" s="20">
        <v>3.5579619066035</v>
      </c>
      <c r="AC13" s="21">
        <v>40575</v>
      </c>
      <c r="AD13" s="22"/>
      <c r="AE13" s="23">
        <v>0</v>
      </c>
      <c r="AF13" s="24">
        <v>0</v>
      </c>
      <c r="AG13" s="25">
        <v>0</v>
      </c>
    </row>
    <row r="14" spans="4:33" x14ac:dyDescent="0.2">
      <c r="D14" s="26"/>
      <c r="E14" s="27" t="s">
        <v>24</v>
      </c>
      <c r="F14" s="28">
        <v>41730</v>
      </c>
      <c r="G14" s="28">
        <v>41948</v>
      </c>
      <c r="H14" s="28"/>
      <c r="I14" s="28"/>
      <c r="J14" s="14"/>
      <c r="K14" s="28"/>
      <c r="O14" s="14" t="s">
        <v>21</v>
      </c>
      <c r="P14" s="19">
        <v>434439.75999999978</v>
      </c>
      <c r="Q14" s="20">
        <v>5.2226325940263552E-2</v>
      </c>
      <c r="R14" s="20">
        <f>Q14/0.9483%</f>
        <v>5.5073632753626018</v>
      </c>
      <c r="AC14" s="21">
        <v>40603</v>
      </c>
      <c r="AD14" s="22"/>
      <c r="AE14" s="23">
        <v>0</v>
      </c>
      <c r="AF14" s="24">
        <v>0</v>
      </c>
      <c r="AG14" s="25">
        <v>0</v>
      </c>
    </row>
    <row r="15" spans="4:33" x14ac:dyDescent="0.2">
      <c r="D15" s="26"/>
      <c r="E15" s="27" t="s">
        <v>26</v>
      </c>
      <c r="F15" s="28">
        <v>42278</v>
      </c>
      <c r="G15" s="28">
        <v>42495</v>
      </c>
      <c r="H15" s="28"/>
      <c r="I15" s="28"/>
      <c r="J15" s="14"/>
      <c r="K15" s="28"/>
      <c r="O15" s="14" t="s">
        <v>23</v>
      </c>
      <c r="P15" s="19">
        <v>-15049.349999999627</v>
      </c>
      <c r="Q15" s="20"/>
      <c r="R15" s="20"/>
      <c r="AC15" s="21">
        <v>40634</v>
      </c>
      <c r="AD15" s="22"/>
      <c r="AE15" s="23">
        <v>0</v>
      </c>
      <c r="AF15" s="24">
        <v>0</v>
      </c>
      <c r="AG15" s="25">
        <v>0</v>
      </c>
    </row>
    <row r="16" spans="4:33" x14ac:dyDescent="0.2">
      <c r="D16" s="26"/>
      <c r="E16" s="27" t="s">
        <v>28</v>
      </c>
      <c r="F16" s="28">
        <v>42826</v>
      </c>
      <c r="G16" s="28">
        <v>43040</v>
      </c>
      <c r="H16" s="28"/>
      <c r="I16" s="28"/>
      <c r="J16" s="14"/>
      <c r="K16" s="28"/>
      <c r="O16" s="14" t="s">
        <v>25</v>
      </c>
      <c r="P16" s="19"/>
      <c r="Q16" s="20"/>
      <c r="R16" s="20"/>
      <c r="AC16" s="21">
        <v>40664</v>
      </c>
      <c r="AD16" s="22"/>
      <c r="AE16" s="23">
        <v>0</v>
      </c>
      <c r="AF16" s="24">
        <v>0</v>
      </c>
      <c r="AG16" s="25">
        <v>0</v>
      </c>
    </row>
    <row r="17" spans="3:33" x14ac:dyDescent="0.2">
      <c r="D17" s="29"/>
      <c r="E17" s="30" t="s">
        <v>7</v>
      </c>
      <c r="F17" s="31" t="s">
        <v>119</v>
      </c>
      <c r="G17" s="31" t="s">
        <v>119</v>
      </c>
      <c r="H17" s="31"/>
      <c r="I17" s="31"/>
      <c r="J17" s="14"/>
      <c r="K17" s="31"/>
      <c r="O17" s="14" t="s">
        <v>27</v>
      </c>
      <c r="P17" s="19"/>
      <c r="Q17" s="20"/>
      <c r="R17" s="20"/>
      <c r="AC17" s="21">
        <v>40695</v>
      </c>
      <c r="AD17" s="22"/>
      <c r="AE17" s="23">
        <v>0</v>
      </c>
      <c r="AF17" s="24">
        <v>0</v>
      </c>
      <c r="AG17" s="25">
        <v>0</v>
      </c>
    </row>
    <row r="18" spans="3:33" x14ac:dyDescent="0.2">
      <c r="O18" s="14" t="s">
        <v>29</v>
      </c>
      <c r="P18" s="19"/>
      <c r="Q18" s="20"/>
      <c r="R18" s="20"/>
      <c r="AC18" s="21">
        <v>40725</v>
      </c>
      <c r="AD18" s="22"/>
      <c r="AE18" s="23">
        <v>0</v>
      </c>
      <c r="AF18" s="24">
        <v>0</v>
      </c>
      <c r="AG18" s="25">
        <v>0</v>
      </c>
    </row>
    <row r="19" spans="3:33" x14ac:dyDescent="0.2">
      <c r="D19" s="9" t="s">
        <v>32</v>
      </c>
      <c r="E19" s="9"/>
      <c r="O19" s="14" t="s">
        <v>30</v>
      </c>
      <c r="P19" s="19"/>
      <c r="Q19" s="20"/>
      <c r="R19" s="20"/>
      <c r="AC19" s="21">
        <v>40756</v>
      </c>
      <c r="AD19" s="22"/>
      <c r="AE19" s="23">
        <v>0</v>
      </c>
      <c r="AF19" s="24">
        <v>0</v>
      </c>
      <c r="AG19" s="25">
        <v>0</v>
      </c>
    </row>
    <row r="20" spans="3:33" x14ac:dyDescent="0.2">
      <c r="D20" s="32"/>
      <c r="E20" s="5"/>
      <c r="O20" s="14" t="s">
        <v>31</v>
      </c>
      <c r="P20" s="19"/>
      <c r="Q20" s="20"/>
      <c r="R20" s="20"/>
      <c r="AC20" s="21">
        <v>40787</v>
      </c>
      <c r="AD20" s="22"/>
      <c r="AE20" s="23">
        <v>0</v>
      </c>
      <c r="AF20" s="24">
        <v>0</v>
      </c>
      <c r="AG20" s="25">
        <v>0</v>
      </c>
    </row>
    <row r="21" spans="3:33" x14ac:dyDescent="0.2">
      <c r="D21" s="11" t="s">
        <v>35</v>
      </c>
      <c r="E21" s="12" t="s">
        <v>36</v>
      </c>
      <c r="F21" s="12" t="s">
        <v>121</v>
      </c>
      <c r="G21" s="12" t="s">
        <v>122</v>
      </c>
      <c r="H21" s="13"/>
      <c r="I21" s="12"/>
      <c r="J21" s="12"/>
      <c r="K21" s="13"/>
      <c r="O21" s="14" t="s">
        <v>33</v>
      </c>
      <c r="P21" s="19"/>
      <c r="Q21" s="20"/>
      <c r="R21" s="20"/>
      <c r="AC21" s="21">
        <v>40817</v>
      </c>
      <c r="AD21" s="22"/>
      <c r="AE21" s="23">
        <v>0</v>
      </c>
      <c r="AF21" s="24">
        <v>0</v>
      </c>
      <c r="AG21" s="25">
        <v>0</v>
      </c>
    </row>
    <row r="22" spans="3:33" x14ac:dyDescent="0.2">
      <c r="D22" s="32"/>
      <c r="E22" s="5"/>
      <c r="O22" s="14" t="s">
        <v>34</v>
      </c>
      <c r="P22" s="19"/>
      <c r="Q22" s="20"/>
      <c r="R22" s="20"/>
      <c r="AC22" s="21">
        <v>40848</v>
      </c>
      <c r="AD22" s="22"/>
      <c r="AE22" s="23">
        <v>0</v>
      </c>
      <c r="AF22" s="24">
        <v>0</v>
      </c>
      <c r="AG22" s="25">
        <v>0</v>
      </c>
    </row>
    <row r="23" spans="3:33" x14ac:dyDescent="0.2">
      <c r="D23" s="37" t="s">
        <v>120</v>
      </c>
      <c r="E23" s="38">
        <v>0</v>
      </c>
      <c r="F23" s="38">
        <v>4999999.99</v>
      </c>
      <c r="G23" s="38">
        <v>3000000</v>
      </c>
      <c r="H23" s="38"/>
      <c r="I23" s="38"/>
      <c r="J23" s="39"/>
      <c r="K23" s="38"/>
      <c r="Q23" s="33"/>
      <c r="R23" s="33"/>
      <c r="AC23" s="21">
        <v>40878</v>
      </c>
      <c r="AD23" s="22"/>
      <c r="AE23" s="23">
        <v>0</v>
      </c>
      <c r="AF23" s="24">
        <v>0</v>
      </c>
      <c r="AG23" s="25">
        <v>0</v>
      </c>
    </row>
    <row r="24" spans="3:33" x14ac:dyDescent="0.2">
      <c r="D24" s="37" t="s">
        <v>41</v>
      </c>
      <c r="E24" s="38">
        <v>7500000</v>
      </c>
      <c r="F24" s="38"/>
      <c r="G24" s="38"/>
      <c r="H24" s="38"/>
      <c r="I24" s="38"/>
      <c r="J24" s="39"/>
      <c r="K24" s="38"/>
      <c r="O24" s="34" t="s">
        <v>37</v>
      </c>
      <c r="P24" s="35">
        <f>SUM(P11:P23)</f>
        <v>583857.5</v>
      </c>
      <c r="Q24" s="36">
        <v>8.7994652901533854E-2</v>
      </c>
      <c r="R24" s="36">
        <v>4.6723651516770488</v>
      </c>
      <c r="AC24" s="21">
        <v>40909</v>
      </c>
      <c r="AD24" s="22"/>
      <c r="AE24" s="23">
        <v>0</v>
      </c>
      <c r="AF24" s="24">
        <v>0</v>
      </c>
      <c r="AG24" s="25">
        <v>0</v>
      </c>
    </row>
    <row r="25" spans="3:33" x14ac:dyDescent="0.2">
      <c r="D25" s="37"/>
      <c r="E25" s="38"/>
      <c r="F25" s="38"/>
      <c r="G25" s="38"/>
      <c r="H25" s="38"/>
      <c r="I25" s="38"/>
      <c r="J25" s="39"/>
      <c r="K25" s="38"/>
      <c r="O25" s="1" t="s">
        <v>38</v>
      </c>
      <c r="P25" s="35">
        <v>5365670.5962038524</v>
      </c>
      <c r="Q25" s="36">
        <v>0.22269440078585467</v>
      </c>
      <c r="R25" s="36">
        <v>2.060077713097638</v>
      </c>
      <c r="AC25" s="21">
        <v>40940</v>
      </c>
      <c r="AD25" s="22"/>
      <c r="AE25" s="23">
        <v>0</v>
      </c>
      <c r="AF25" s="24">
        <v>0</v>
      </c>
      <c r="AG25" s="25">
        <v>0</v>
      </c>
    </row>
    <row r="26" spans="3:33" x14ac:dyDescent="0.2">
      <c r="D26" s="37"/>
      <c r="E26" s="38"/>
      <c r="F26" s="38"/>
      <c r="G26" s="38"/>
      <c r="H26" s="38"/>
      <c r="I26" s="38"/>
      <c r="J26" s="39"/>
      <c r="K26" s="38"/>
      <c r="O26" s="1" t="s">
        <v>39</v>
      </c>
      <c r="P26" s="35">
        <v>10240976.770307999</v>
      </c>
      <c r="Q26" s="36">
        <v>0.73924215512915725</v>
      </c>
      <c r="R26" s="36">
        <v>9.1665073919246751</v>
      </c>
      <c r="AC26" s="21">
        <v>40969</v>
      </c>
      <c r="AD26" s="22"/>
      <c r="AE26" s="23">
        <v>0</v>
      </c>
      <c r="AF26" s="24">
        <v>0</v>
      </c>
      <c r="AG26" s="25">
        <v>0</v>
      </c>
    </row>
    <row r="27" spans="3:33" x14ac:dyDescent="0.2">
      <c r="C27" s="1" t="s">
        <v>1</v>
      </c>
      <c r="D27" s="37"/>
      <c r="E27" s="38"/>
      <c r="F27" s="38"/>
      <c r="G27" s="38"/>
      <c r="H27" s="38"/>
      <c r="I27" s="38"/>
      <c r="J27" s="39"/>
      <c r="K27" s="38"/>
      <c r="O27" s="1" t="s">
        <v>40</v>
      </c>
      <c r="P27" s="35">
        <v>9854090.3420553636</v>
      </c>
      <c r="Q27" s="36">
        <v>2.4639815821629201</v>
      </c>
      <c r="R27" s="36">
        <v>29.340099811418433</v>
      </c>
      <c r="AC27" s="21">
        <v>41000</v>
      </c>
      <c r="AD27" s="22"/>
      <c r="AE27" s="23">
        <v>0</v>
      </c>
      <c r="AF27" s="24">
        <v>0</v>
      </c>
      <c r="AG27" s="25">
        <v>0</v>
      </c>
    </row>
    <row r="28" spans="3:33" x14ac:dyDescent="0.2">
      <c r="D28" s="37"/>
      <c r="E28" s="38"/>
      <c r="F28" s="38"/>
      <c r="G28" s="38"/>
      <c r="H28" s="38"/>
      <c r="I28" s="38"/>
      <c r="J28" s="39"/>
      <c r="K28" s="38"/>
      <c r="O28" s="1" t="s">
        <v>40</v>
      </c>
      <c r="P28" s="35">
        <v>1455650.8699999996</v>
      </c>
      <c r="Q28" s="36">
        <v>0.57227888853768105</v>
      </c>
      <c r="R28" s="36">
        <v>6.8144664031636228</v>
      </c>
      <c r="AC28" s="21">
        <v>41030</v>
      </c>
      <c r="AD28" s="22"/>
      <c r="AE28" s="23">
        <v>0</v>
      </c>
      <c r="AF28" s="24">
        <v>0</v>
      </c>
      <c r="AG28" s="25">
        <v>0</v>
      </c>
    </row>
    <row r="29" spans="3:33" x14ac:dyDescent="0.2">
      <c r="D29" s="37"/>
      <c r="E29" s="38"/>
      <c r="F29" s="38"/>
      <c r="G29" s="38"/>
      <c r="H29" s="38"/>
      <c r="I29" s="38"/>
      <c r="J29" s="39"/>
      <c r="K29" s="38"/>
      <c r="AC29" s="21">
        <v>41061</v>
      </c>
      <c r="AD29" s="22"/>
      <c r="AE29" s="23">
        <v>0</v>
      </c>
      <c r="AF29" s="24">
        <v>0</v>
      </c>
      <c r="AG29" s="25">
        <v>0</v>
      </c>
    </row>
    <row r="30" spans="3:33" x14ac:dyDescent="0.2">
      <c r="D30" s="37"/>
      <c r="E30" s="38"/>
      <c r="F30" s="38"/>
      <c r="G30" s="38"/>
      <c r="H30" s="38"/>
      <c r="I30" s="38"/>
      <c r="J30" s="39"/>
      <c r="K30" s="38"/>
      <c r="AC30" s="21">
        <v>41091</v>
      </c>
      <c r="AD30" s="22"/>
      <c r="AE30" s="23">
        <v>0</v>
      </c>
      <c r="AF30" s="24">
        <v>0</v>
      </c>
      <c r="AG30" s="25">
        <v>0</v>
      </c>
    </row>
    <row r="31" spans="3:33" x14ac:dyDescent="0.2">
      <c r="D31" s="37"/>
      <c r="E31" s="38"/>
      <c r="F31" s="38"/>
      <c r="G31" s="38"/>
      <c r="H31" s="38"/>
      <c r="I31" s="38"/>
      <c r="J31" s="39"/>
      <c r="K31" s="38"/>
      <c r="AC31" s="21">
        <v>41122</v>
      </c>
      <c r="AD31" s="22"/>
      <c r="AE31" s="23">
        <v>0</v>
      </c>
      <c r="AF31" s="24">
        <v>0</v>
      </c>
      <c r="AG31" s="25">
        <v>0</v>
      </c>
    </row>
    <row r="32" spans="3:33" x14ac:dyDescent="0.2">
      <c r="D32" s="37"/>
      <c r="E32" s="38"/>
      <c r="F32" s="38"/>
      <c r="G32" s="38"/>
      <c r="H32" s="38"/>
      <c r="I32" s="38"/>
      <c r="J32" s="39"/>
      <c r="K32" s="38"/>
      <c r="AC32" s="21">
        <v>41153</v>
      </c>
      <c r="AD32" s="22"/>
      <c r="AE32" s="23">
        <v>0</v>
      </c>
      <c r="AF32" s="24">
        <v>0</v>
      </c>
      <c r="AG32" s="25">
        <v>0</v>
      </c>
    </row>
    <row r="33" spans="3:33" x14ac:dyDescent="0.2">
      <c r="D33" s="37"/>
      <c r="E33" s="38"/>
      <c r="F33" s="38"/>
      <c r="G33" s="38"/>
      <c r="H33" s="38"/>
      <c r="I33" s="38"/>
      <c r="J33" s="39"/>
      <c r="K33" s="38"/>
      <c r="AC33" s="21">
        <v>41183</v>
      </c>
      <c r="AD33" s="22"/>
      <c r="AE33" s="23">
        <v>0</v>
      </c>
      <c r="AF33" s="24">
        <v>0</v>
      </c>
      <c r="AG33" s="25">
        <v>0</v>
      </c>
    </row>
    <row r="34" spans="3:33" x14ac:dyDescent="0.2">
      <c r="D34" s="37"/>
      <c r="E34" s="38"/>
      <c r="F34" s="38"/>
      <c r="G34" s="38"/>
      <c r="H34" s="38"/>
      <c r="I34" s="38"/>
      <c r="J34" s="39"/>
      <c r="K34" s="38"/>
      <c r="AC34" s="21">
        <v>41214</v>
      </c>
      <c r="AD34" s="22"/>
      <c r="AE34" s="23">
        <v>0</v>
      </c>
      <c r="AF34" s="24">
        <v>0</v>
      </c>
      <c r="AG34" s="25">
        <v>0</v>
      </c>
    </row>
    <row r="35" spans="3:33" x14ac:dyDescent="0.2">
      <c r="D35" s="40">
        <f>SUM(E35:K35)</f>
        <v>15499999.99</v>
      </c>
      <c r="E35" s="41">
        <f>SUM(E23:E34)</f>
        <v>7500000</v>
      </c>
      <c r="F35" s="41">
        <f>SUM(F23:F34)</f>
        <v>4999999.99</v>
      </c>
      <c r="G35" s="41">
        <f>SUM(G23:G34)</f>
        <v>3000000</v>
      </c>
      <c r="H35" s="41">
        <f>SUM(H23:H34)</f>
        <v>0</v>
      </c>
      <c r="I35" s="41"/>
      <c r="J35" s="42"/>
      <c r="K35" s="41"/>
      <c r="AC35" s="21">
        <v>41244</v>
      </c>
      <c r="AD35" s="22"/>
      <c r="AE35" s="23">
        <v>0</v>
      </c>
      <c r="AF35" s="24">
        <v>0</v>
      </c>
      <c r="AG35" s="25">
        <v>0</v>
      </c>
    </row>
    <row r="36" spans="3:33" x14ac:dyDescent="0.2">
      <c r="D36" s="5"/>
      <c r="E36" s="5"/>
      <c r="F36" s="43"/>
      <c r="AC36" s="21">
        <v>41275</v>
      </c>
      <c r="AD36" s="22"/>
      <c r="AE36" s="23">
        <v>0</v>
      </c>
      <c r="AF36" s="24">
        <v>0</v>
      </c>
      <c r="AG36" s="25">
        <v>0</v>
      </c>
    </row>
    <row r="37" spans="3:33" x14ac:dyDescent="0.2">
      <c r="D37" s="9" t="s">
        <v>42</v>
      </c>
      <c r="E37" s="9"/>
      <c r="F37" s="9"/>
      <c r="AC37" s="21">
        <v>41306</v>
      </c>
      <c r="AD37" s="22"/>
      <c r="AE37" s="23">
        <v>0</v>
      </c>
      <c r="AF37" s="24">
        <v>0</v>
      </c>
      <c r="AG37" s="25">
        <v>0</v>
      </c>
    </row>
    <row r="38" spans="3:33" x14ac:dyDescent="0.2">
      <c r="D38" s="5"/>
      <c r="E38" s="5"/>
      <c r="F38" s="5"/>
      <c r="AC38" s="21">
        <v>41334</v>
      </c>
      <c r="AD38" s="22"/>
      <c r="AE38" s="23">
        <v>0</v>
      </c>
      <c r="AF38" s="24">
        <v>0</v>
      </c>
      <c r="AG38" s="25">
        <v>0</v>
      </c>
    </row>
    <row r="39" spans="3:33" x14ac:dyDescent="0.2">
      <c r="D39" s="11" t="s">
        <v>35</v>
      </c>
      <c r="E39" s="12" t="s">
        <v>36</v>
      </c>
      <c r="F39" s="12" t="s">
        <v>121</v>
      </c>
      <c r="G39" s="12" t="s">
        <v>122</v>
      </c>
      <c r="H39" s="13"/>
      <c r="I39" s="12"/>
      <c r="J39" s="12"/>
      <c r="K39" s="13"/>
      <c r="AC39" s="21">
        <v>41365</v>
      </c>
      <c r="AD39" s="22"/>
      <c r="AE39" s="23">
        <v>0</v>
      </c>
      <c r="AF39" s="24">
        <v>0</v>
      </c>
      <c r="AG39" s="25">
        <v>0</v>
      </c>
    </row>
    <row r="40" spans="3:33" x14ac:dyDescent="0.2">
      <c r="D40" s="5"/>
      <c r="E40" s="5"/>
      <c r="AC40" s="21">
        <v>41395</v>
      </c>
      <c r="AD40" s="22"/>
      <c r="AE40" s="23">
        <v>0</v>
      </c>
      <c r="AF40" s="24">
        <v>0</v>
      </c>
      <c r="AG40" s="25">
        <v>0</v>
      </c>
    </row>
    <row r="41" spans="3:33" x14ac:dyDescent="0.2">
      <c r="D41" s="37" t="s">
        <v>120</v>
      </c>
      <c r="E41" s="38">
        <v>0</v>
      </c>
      <c r="F41" s="38">
        <v>5847980.71</v>
      </c>
      <c r="G41" s="38">
        <v>3275310.97</v>
      </c>
      <c r="H41" s="38"/>
      <c r="I41" s="38"/>
      <c r="J41" s="39"/>
      <c r="K41" s="38"/>
      <c r="AC41" s="21">
        <v>41426</v>
      </c>
      <c r="AD41" s="22"/>
      <c r="AE41" s="23">
        <v>0</v>
      </c>
      <c r="AF41" s="24">
        <v>0</v>
      </c>
      <c r="AG41" s="25">
        <v>0</v>
      </c>
    </row>
    <row r="42" spans="3:33" x14ac:dyDescent="0.2">
      <c r="D42" s="37" t="s">
        <v>41</v>
      </c>
      <c r="E42" s="38">
        <v>8755167.4499999993</v>
      </c>
      <c r="F42" s="38"/>
      <c r="G42" s="38"/>
      <c r="H42" s="38"/>
      <c r="I42" s="38"/>
      <c r="J42" s="39"/>
      <c r="K42" s="38"/>
      <c r="AC42" s="21">
        <v>41456</v>
      </c>
      <c r="AD42" s="22"/>
      <c r="AE42" s="23">
        <v>0</v>
      </c>
      <c r="AF42" s="24">
        <v>0</v>
      </c>
      <c r="AG42" s="25">
        <v>0</v>
      </c>
    </row>
    <row r="43" spans="3:33" x14ac:dyDescent="0.2">
      <c r="D43" s="37"/>
      <c r="E43" s="38"/>
      <c r="F43" s="38"/>
      <c r="G43" s="38"/>
      <c r="H43" s="38"/>
      <c r="I43" s="38"/>
      <c r="J43" s="39"/>
      <c r="K43" s="38"/>
      <c r="AC43" s="21">
        <v>41487</v>
      </c>
      <c r="AD43" s="22"/>
      <c r="AE43" s="23">
        <v>0</v>
      </c>
      <c r="AF43" s="24">
        <v>0</v>
      </c>
      <c r="AG43" s="25">
        <v>0</v>
      </c>
    </row>
    <row r="44" spans="3:33" x14ac:dyDescent="0.2">
      <c r="D44" s="37"/>
      <c r="E44" s="38"/>
      <c r="F44" s="38"/>
      <c r="G44" s="38"/>
      <c r="H44" s="38"/>
      <c r="I44" s="38"/>
      <c r="J44" s="39"/>
      <c r="K44" s="38"/>
      <c r="AC44" s="21">
        <v>41518</v>
      </c>
      <c r="AD44" s="22"/>
      <c r="AE44" s="23">
        <v>0</v>
      </c>
      <c r="AF44" s="24">
        <v>0</v>
      </c>
      <c r="AG44" s="25">
        <v>0</v>
      </c>
    </row>
    <row r="45" spans="3:33" x14ac:dyDescent="0.2">
      <c r="C45" s="1" t="s">
        <v>1</v>
      </c>
      <c r="D45" s="37"/>
      <c r="E45" s="38"/>
      <c r="F45" s="38"/>
      <c r="G45" s="38"/>
      <c r="H45" s="38"/>
      <c r="I45" s="38"/>
      <c r="J45" s="39"/>
      <c r="K45" s="38"/>
      <c r="AC45" s="21">
        <v>41548</v>
      </c>
      <c r="AD45" s="22"/>
      <c r="AE45" s="23">
        <v>0</v>
      </c>
      <c r="AF45" s="24">
        <v>0</v>
      </c>
      <c r="AG45" s="25">
        <v>0</v>
      </c>
    </row>
    <row r="46" spans="3:33" x14ac:dyDescent="0.2">
      <c r="D46" s="37"/>
      <c r="E46" s="38"/>
      <c r="F46" s="38"/>
      <c r="G46" s="38"/>
      <c r="H46" s="38"/>
      <c r="I46" s="38"/>
      <c r="J46" s="39"/>
      <c r="K46" s="38"/>
      <c r="AC46" s="21">
        <v>41579</v>
      </c>
      <c r="AD46" s="22"/>
      <c r="AE46" s="23">
        <v>0</v>
      </c>
      <c r="AF46" s="24">
        <v>0</v>
      </c>
      <c r="AG46" s="25">
        <v>0</v>
      </c>
    </row>
    <row r="47" spans="3:33" x14ac:dyDescent="0.2">
      <c r="D47" s="37"/>
      <c r="E47" s="38"/>
      <c r="F47" s="38"/>
      <c r="G47" s="38"/>
      <c r="H47" s="38"/>
      <c r="I47" s="38"/>
      <c r="J47" s="39"/>
      <c r="K47" s="38"/>
      <c r="AC47" s="21">
        <v>41609</v>
      </c>
      <c r="AD47" s="22"/>
      <c r="AE47" s="23">
        <v>0</v>
      </c>
      <c r="AF47" s="24">
        <v>0</v>
      </c>
      <c r="AG47" s="25">
        <v>0</v>
      </c>
    </row>
    <row r="48" spans="3:33" x14ac:dyDescent="0.2">
      <c r="D48" s="37"/>
      <c r="E48" s="38"/>
      <c r="F48" s="38"/>
      <c r="G48" s="38"/>
      <c r="H48" s="38"/>
      <c r="I48" s="38"/>
      <c r="J48" s="39"/>
      <c r="K48" s="38"/>
      <c r="AC48" s="21">
        <v>41640</v>
      </c>
      <c r="AD48" s="22"/>
      <c r="AE48" s="23">
        <v>0</v>
      </c>
      <c r="AF48" s="24">
        <v>0</v>
      </c>
      <c r="AG48" s="25">
        <v>0</v>
      </c>
    </row>
    <row r="49" spans="4:34" x14ac:dyDescent="0.2">
      <c r="D49" s="37"/>
      <c r="E49" s="38"/>
      <c r="F49" s="38"/>
      <c r="G49" s="38"/>
      <c r="H49" s="38"/>
      <c r="I49" s="38"/>
      <c r="J49" s="39"/>
      <c r="K49" s="38"/>
      <c r="AC49" s="21">
        <v>41671</v>
      </c>
      <c r="AD49" s="22"/>
      <c r="AE49" s="23">
        <v>0</v>
      </c>
      <c r="AF49" s="24">
        <v>0</v>
      </c>
      <c r="AG49" s="25">
        <v>0</v>
      </c>
    </row>
    <row r="50" spans="4:34" x14ac:dyDescent="0.2">
      <c r="D50" s="37"/>
      <c r="E50" s="38"/>
      <c r="F50" s="38"/>
      <c r="G50" s="38"/>
      <c r="H50" s="38"/>
      <c r="I50" s="38"/>
      <c r="J50" s="39"/>
      <c r="K50" s="38"/>
      <c r="AC50" s="21">
        <v>41699</v>
      </c>
      <c r="AD50" s="22"/>
      <c r="AE50" s="23">
        <v>0</v>
      </c>
      <c r="AF50" s="24">
        <v>0</v>
      </c>
      <c r="AG50" s="25">
        <v>0</v>
      </c>
    </row>
    <row r="51" spans="4:34" x14ac:dyDescent="0.2">
      <c r="D51" s="37"/>
      <c r="E51" s="38"/>
      <c r="F51" s="38"/>
      <c r="G51" s="38"/>
      <c r="H51" s="38"/>
      <c r="I51" s="38"/>
      <c r="J51" s="39"/>
      <c r="K51" s="38"/>
      <c r="AC51" s="21">
        <v>41730</v>
      </c>
      <c r="AD51" s="22"/>
      <c r="AE51" s="23">
        <v>0</v>
      </c>
      <c r="AF51" s="24">
        <v>0</v>
      </c>
      <c r="AG51" s="25">
        <v>0</v>
      </c>
      <c r="AH51" s="65"/>
    </row>
    <row r="52" spans="4:34" x14ac:dyDescent="0.2">
      <c r="D52" s="37"/>
      <c r="E52" s="38"/>
      <c r="F52" s="38"/>
      <c r="G52" s="38"/>
      <c r="H52" s="38"/>
      <c r="I52" s="38"/>
      <c r="J52" s="39"/>
      <c r="K52" s="38"/>
      <c r="AC52" s="21">
        <v>41760</v>
      </c>
      <c r="AD52" s="22"/>
      <c r="AE52" s="23">
        <v>5002908.4499999993</v>
      </c>
      <c r="AF52" s="24">
        <v>0</v>
      </c>
      <c r="AG52" s="25">
        <v>0</v>
      </c>
      <c r="AH52" s="65"/>
    </row>
    <row r="53" spans="4:34" x14ac:dyDescent="0.2">
      <c r="D53" s="40">
        <f>SUM(E53:K53)</f>
        <v>17878459.129999999</v>
      </c>
      <c r="E53" s="41">
        <f>SUM(E41:E52)</f>
        <v>8755167.4499999993</v>
      </c>
      <c r="F53" s="41">
        <f>SUM(F41:F52)</f>
        <v>5847980.71</v>
      </c>
      <c r="G53" s="41">
        <f>SUM(G41:G52)</f>
        <v>3275310.97</v>
      </c>
      <c r="H53" s="41">
        <f>SUM(H41:H52)</f>
        <v>0</v>
      </c>
      <c r="I53" s="41"/>
      <c r="J53" s="42"/>
      <c r="K53" s="41"/>
      <c r="AC53" s="21">
        <v>41791</v>
      </c>
      <c r="AD53" s="22">
        <v>100.00153473818543</v>
      </c>
      <c r="AE53" s="23">
        <v>4988549.5600000005</v>
      </c>
      <c r="AF53" s="24">
        <v>53021.89</v>
      </c>
      <c r="AG53" s="25">
        <v>0</v>
      </c>
      <c r="AH53" s="65"/>
    </row>
    <row r="54" spans="4:34" x14ac:dyDescent="0.2">
      <c r="K54" s="33"/>
      <c r="AC54" s="21">
        <v>41821</v>
      </c>
      <c r="AD54" s="22">
        <v>4.4205884779093649</v>
      </c>
      <c r="AE54" s="23">
        <v>5020303.37</v>
      </c>
      <c r="AF54" s="24">
        <v>903689.09</v>
      </c>
      <c r="AG54" s="25">
        <v>325794.09000000003</v>
      </c>
      <c r="AH54" s="65"/>
    </row>
    <row r="55" spans="4:34" x14ac:dyDescent="0.2">
      <c r="X55" s="45" t="s">
        <v>45</v>
      </c>
      <c r="Y55" s="46"/>
      <c r="Z55" s="46"/>
      <c r="AA55" s="46"/>
      <c r="AC55" s="21">
        <v>41852</v>
      </c>
      <c r="AD55" s="22">
        <v>57.098749833449006</v>
      </c>
      <c r="AE55" s="23">
        <v>7829388</v>
      </c>
      <c r="AF55" s="24">
        <v>276182.42999999993</v>
      </c>
      <c r="AG55" s="25">
        <v>255174.25</v>
      </c>
      <c r="AH55" s="65"/>
    </row>
    <row r="56" spans="4:34" x14ac:dyDescent="0.2">
      <c r="D56" s="64" t="s">
        <v>64</v>
      </c>
      <c r="E56" s="64"/>
      <c r="F56" s="64"/>
      <c r="G56" s="5"/>
      <c r="H56" s="64" t="s">
        <v>74</v>
      </c>
      <c r="I56" s="64"/>
      <c r="J56" s="64"/>
      <c r="K56" s="64"/>
      <c r="L56" s="64"/>
      <c r="M56" s="64"/>
      <c r="N56" s="64"/>
      <c r="O56" s="64"/>
      <c r="P56" s="64"/>
      <c r="AC56" s="21">
        <v>41883</v>
      </c>
      <c r="AD56" s="22">
        <v>10.474202458452247</v>
      </c>
      <c r="AE56" s="23">
        <v>7722959.4099942828</v>
      </c>
      <c r="AF56" s="24">
        <v>268906.31000000006</v>
      </c>
      <c r="AG56" s="25">
        <v>468425.19</v>
      </c>
      <c r="AH56" s="65"/>
    </row>
    <row r="57" spans="4:34" x14ac:dyDescent="0.2">
      <c r="D57" s="66"/>
      <c r="E57" s="67"/>
      <c r="F57" s="68"/>
      <c r="G57" s="67"/>
      <c r="H57" s="68"/>
      <c r="I57" s="65"/>
      <c r="J57" s="65"/>
      <c r="K57" s="65"/>
      <c r="L57" s="65"/>
      <c r="M57" s="65"/>
      <c r="X57" s="83" t="s">
        <v>46</v>
      </c>
      <c r="Y57" s="84"/>
      <c r="Z57" s="47">
        <f>SUM(Z58:Z67)</f>
        <v>31251382.129999999</v>
      </c>
      <c r="AA57" s="48">
        <f>IFERROR(Z57/$Z$57,0)</f>
        <v>1</v>
      </c>
      <c r="AC57" s="21">
        <v>41913</v>
      </c>
      <c r="AD57" s="22">
        <v>5.2678822671895</v>
      </c>
      <c r="AE57" s="23">
        <v>8077820.4499958036</v>
      </c>
      <c r="AF57" s="24">
        <v>543321.48</v>
      </c>
      <c r="AG57" s="25">
        <v>990087.97</v>
      </c>
      <c r="AH57" s="65"/>
    </row>
    <row r="58" spans="4:34" s="65" customFormat="1" x14ac:dyDescent="0.2">
      <c r="D58" s="9" t="s">
        <v>71</v>
      </c>
      <c r="E58" s="9" t="s">
        <v>43</v>
      </c>
      <c r="F58" s="9" t="s">
        <v>44</v>
      </c>
      <c r="G58" s="71" t="s">
        <v>117</v>
      </c>
      <c r="X58" s="151" t="s">
        <v>47</v>
      </c>
      <c r="Y58" s="152"/>
      <c r="Z58" s="51">
        <f>'Extrai Base'!B28</f>
        <v>8120553.7199999997</v>
      </c>
      <c r="AA58" s="52">
        <f>IFERROR(Z58/$Z$57,0)</f>
        <v>0.25984622651951811</v>
      </c>
      <c r="AC58" s="21">
        <v>41944</v>
      </c>
      <c r="AD58" s="22">
        <v>5.8437243155059848</v>
      </c>
      <c r="AE58" s="23">
        <v>8302829.5999929123</v>
      </c>
      <c r="AF58" s="24">
        <v>840699.49000000011</v>
      </c>
      <c r="AG58" s="25">
        <v>580111.81999999995</v>
      </c>
    </row>
    <row r="59" spans="4:34" s="65" customFormat="1" x14ac:dyDescent="0.2">
      <c r="D59" s="9" t="s">
        <v>65</v>
      </c>
      <c r="E59" s="44">
        <v>0.1</v>
      </c>
      <c r="F59" s="44">
        <v>0.2</v>
      </c>
      <c r="G59" s="70">
        <f>D53</f>
        <v>17878459.129999999</v>
      </c>
      <c r="X59" s="151" t="s">
        <v>49</v>
      </c>
      <c r="Y59" s="152"/>
      <c r="Z59" s="51">
        <f>'Extrai Base'!B29</f>
        <v>5576403.25</v>
      </c>
      <c r="AA59" s="52">
        <f t="shared" ref="AA59:AA67" si="0">IFERROR(Z59/$Z$57,0)</f>
        <v>0.17843701205928073</v>
      </c>
      <c r="AC59" s="21">
        <v>41974</v>
      </c>
      <c r="AD59" s="22">
        <v>4.8455422524056679</v>
      </c>
      <c r="AE59" s="23">
        <v>8153938.6599988546</v>
      </c>
      <c r="AF59" s="24">
        <v>1107446.33</v>
      </c>
      <c r="AG59" s="25">
        <v>575324.81000000006</v>
      </c>
    </row>
    <row r="60" spans="4:34" s="65" customFormat="1" x14ac:dyDescent="0.2">
      <c r="D60" s="9" t="s">
        <v>66</v>
      </c>
      <c r="E60" s="69">
        <f>$G$59*E59</f>
        <v>1787845.9129999999</v>
      </c>
      <c r="F60" s="69">
        <f>$G$59*F59</f>
        <v>3575691.8259999999</v>
      </c>
      <c r="G60" s="67"/>
      <c r="H60" s="68"/>
      <c r="X60" s="151" t="s">
        <v>50</v>
      </c>
      <c r="Y60" s="152"/>
      <c r="Z60" s="51">
        <f>'Extrai Base'!B30</f>
        <v>4634659.08</v>
      </c>
      <c r="AA60" s="52">
        <f t="shared" si="0"/>
        <v>0.14830253141191233</v>
      </c>
      <c r="AC60" s="21">
        <v>42005</v>
      </c>
      <c r="AD60" s="22">
        <v>3.6600337282222584</v>
      </c>
      <c r="AE60" s="23">
        <v>7566805.0799999032</v>
      </c>
      <c r="AF60" s="24">
        <v>1318880.4099999999</v>
      </c>
      <c r="AG60" s="25">
        <v>748533.62</v>
      </c>
    </row>
    <row r="61" spans="4:34" s="65" customFormat="1" x14ac:dyDescent="0.2">
      <c r="D61" s="9" t="s">
        <v>67</v>
      </c>
      <c r="E61" s="44"/>
      <c r="F61" s="44"/>
      <c r="G61" s="67"/>
      <c r="H61" s="68"/>
      <c r="X61" s="151" t="s">
        <v>51</v>
      </c>
      <c r="Y61" s="152"/>
      <c r="Z61" s="51">
        <f>'Extrai Base'!B31</f>
        <v>1463780.35</v>
      </c>
      <c r="AA61" s="52">
        <f t="shared" si="0"/>
        <v>4.6838899601654202E-2</v>
      </c>
      <c r="AC61" s="21">
        <v>42036</v>
      </c>
      <c r="AD61" s="22">
        <v>3.3037410834062673</v>
      </c>
      <c r="AE61" s="23">
        <v>8023271.1699977014</v>
      </c>
      <c r="AF61" s="24">
        <v>834662.07999999984</v>
      </c>
      <c r="AG61" s="25">
        <v>1593879.07</v>
      </c>
    </row>
    <row r="62" spans="4:34" s="65" customFormat="1" x14ac:dyDescent="0.2">
      <c r="D62" s="9" t="s">
        <v>68</v>
      </c>
      <c r="E62" s="69"/>
      <c r="F62" s="69"/>
      <c r="G62" s="67"/>
      <c r="H62" s="68"/>
      <c r="X62" s="151" t="s">
        <v>52</v>
      </c>
      <c r="Y62" s="152"/>
      <c r="Z62" s="51">
        <f>'Extrai Base'!B32</f>
        <v>651334.44999999995</v>
      </c>
      <c r="AA62" s="52">
        <f t="shared" si="0"/>
        <v>2.0841780606392656E-2</v>
      </c>
      <c r="AC62" s="21">
        <v>42064</v>
      </c>
      <c r="AD62" s="22">
        <v>3.4531092914633765</v>
      </c>
      <c r="AE62" s="23">
        <v>8318405.7499972787</v>
      </c>
      <c r="AF62" s="24">
        <v>1053843.45</v>
      </c>
      <c r="AG62" s="25">
        <v>1355117.59</v>
      </c>
      <c r="AH62" s="147">
        <f>AE62/AE61-1</f>
        <v>3.678481927710564E-2</v>
      </c>
    </row>
    <row r="63" spans="4:34" s="65" customFormat="1" x14ac:dyDescent="0.2">
      <c r="D63" s="9" t="s">
        <v>69</v>
      </c>
      <c r="E63" s="44"/>
      <c r="F63" s="44"/>
      <c r="G63" s="67"/>
      <c r="H63" s="68"/>
      <c r="X63" s="151" t="s">
        <v>53</v>
      </c>
      <c r="Y63" s="152"/>
      <c r="Z63" s="51">
        <f>'Extrai Base'!B33</f>
        <v>1913951.15</v>
      </c>
      <c r="AA63" s="52">
        <f t="shared" si="0"/>
        <v>6.1243728102594479E-2</v>
      </c>
      <c r="AC63" s="21">
        <v>42095</v>
      </c>
      <c r="AD63" s="22"/>
      <c r="AE63" s="23">
        <v>8752845.5199999996</v>
      </c>
      <c r="AF63" s="24"/>
      <c r="AG63" s="25"/>
      <c r="AH63" s="147">
        <f>AE63/AE62-1</f>
        <v>5.2226325940263552E-2</v>
      </c>
    </row>
    <row r="64" spans="4:34" s="65" customFormat="1" x14ac:dyDescent="0.2">
      <c r="D64" s="9" t="s">
        <v>70</v>
      </c>
      <c r="E64" s="69"/>
      <c r="F64" s="69"/>
      <c r="G64" s="67"/>
      <c r="H64" s="68"/>
      <c r="X64" s="151" t="s">
        <v>54</v>
      </c>
      <c r="Y64" s="152"/>
      <c r="Z64" s="51">
        <f>'Extrai Base'!B34</f>
        <v>3861054.71</v>
      </c>
      <c r="AA64" s="52">
        <f t="shared" si="0"/>
        <v>0.12354828640662109</v>
      </c>
      <c r="AC64" s="21">
        <v>42125</v>
      </c>
      <c r="AD64" s="22"/>
      <c r="AE64" s="23"/>
      <c r="AF64" s="24"/>
      <c r="AG64" s="25"/>
    </row>
    <row r="65" spans="4:35" s="65" customFormat="1" x14ac:dyDescent="0.2">
      <c r="D65" s="66"/>
      <c r="E65" s="67"/>
      <c r="F65" s="68"/>
      <c r="G65" s="67"/>
      <c r="H65" s="68"/>
      <c r="X65" s="151" t="s">
        <v>56</v>
      </c>
      <c r="Y65" s="152"/>
      <c r="Z65" s="51">
        <f>'Extrai Base'!B35</f>
        <v>3823371.88</v>
      </c>
      <c r="AA65" s="52">
        <f t="shared" si="0"/>
        <v>0.1223424891768139</v>
      </c>
    </row>
    <row r="66" spans="4:35" s="65" customFormat="1" x14ac:dyDescent="0.2">
      <c r="D66" s="53" t="s">
        <v>44</v>
      </c>
      <c r="E66" s="129"/>
      <c r="F66" s="54" t="s">
        <v>48</v>
      </c>
      <c r="G66" s="55" t="s">
        <v>0</v>
      </c>
      <c r="H66" s="1"/>
      <c r="I66" s="1"/>
      <c r="J66" s="1"/>
      <c r="X66" s="151" t="s">
        <v>57</v>
      </c>
      <c r="Y66" s="152"/>
      <c r="Z66" s="51">
        <f>'Extrai Base'!B36</f>
        <v>1186095.53</v>
      </c>
      <c r="AA66" s="52">
        <f t="shared" si="0"/>
        <v>3.7953378351909713E-2</v>
      </c>
      <c r="AC66" s="64" t="s">
        <v>93</v>
      </c>
      <c r="AD66" s="64"/>
      <c r="AE66" s="64"/>
      <c r="AF66" s="1"/>
    </row>
    <row r="67" spans="4:35" s="65" customFormat="1" x14ac:dyDescent="0.2">
      <c r="D67" s="56" t="str">
        <f>'Extrai Base'!A9</f>
        <v>NOVACKI PAPEL EMBALAGENS S/A</v>
      </c>
      <c r="E67" s="138"/>
      <c r="F67" s="57">
        <f>'Extrai Base'!B9</f>
        <v>2979772.78</v>
      </c>
      <c r="G67" s="6">
        <f t="shared" ref="G67:G73" si="1">(F67/$G$59)</f>
        <v>0.16666832182421976</v>
      </c>
      <c r="H67" s="1"/>
      <c r="I67" s="1"/>
      <c r="J67" s="1"/>
      <c r="K67" s="1"/>
      <c r="L67" s="1"/>
      <c r="M67" s="1"/>
      <c r="X67" s="151" t="s">
        <v>58</v>
      </c>
      <c r="Y67" s="152"/>
      <c r="Z67" s="51">
        <f>'Extrai Base'!B37</f>
        <v>20178.009999999998</v>
      </c>
      <c r="AA67" s="52">
        <f t="shared" si="0"/>
        <v>6.4566776330285782E-4</v>
      </c>
      <c r="AC67" s="1"/>
      <c r="AD67" s="1"/>
      <c r="AE67" s="1"/>
      <c r="AF67" s="1"/>
    </row>
    <row r="68" spans="4:35" x14ac:dyDescent="0.2">
      <c r="D68" s="56" t="str">
        <f>'Extrai Base'!A10</f>
        <v>ITALO LANFREDI SA INDUSTRIAS MECANICAS</v>
      </c>
      <c r="E68" s="138"/>
      <c r="F68" s="57">
        <f>'Extrai Base'!B10</f>
        <v>2815163.45</v>
      </c>
      <c r="G68" s="6">
        <f t="shared" si="1"/>
        <v>0.15746119000133321</v>
      </c>
      <c r="AC68" s="45" t="s">
        <v>128</v>
      </c>
      <c r="AD68" s="45"/>
      <c r="AE68" s="45" t="s">
        <v>126</v>
      </c>
      <c r="AF68" s="45" t="s">
        <v>127</v>
      </c>
      <c r="AG68" s="139" t="s">
        <v>94</v>
      </c>
      <c r="AH68" s="140"/>
      <c r="AI68" s="109"/>
    </row>
    <row r="69" spans="4:35" ht="11.25" customHeight="1" x14ac:dyDescent="0.2">
      <c r="D69" s="56" t="str">
        <f>'Extrai Base'!A11</f>
        <v>JJZ ALIMENTOS S/A</v>
      </c>
      <c r="E69" s="138"/>
      <c r="F69" s="57">
        <f>'Extrai Base'!B11</f>
        <v>2798922.87</v>
      </c>
      <c r="G69" s="6">
        <f t="shared" si="1"/>
        <v>0.15655280187448684</v>
      </c>
      <c r="X69" s="45" t="s">
        <v>143</v>
      </c>
      <c r="Y69" s="46"/>
      <c r="Z69" s="46"/>
      <c r="AA69" s="46"/>
      <c r="AC69" s="45" t="s">
        <v>140</v>
      </c>
      <c r="AD69" s="143"/>
      <c r="AE69" s="142">
        <v>0.05</v>
      </c>
      <c r="AF69" s="142">
        <v>7.0000000000000007E-2</v>
      </c>
      <c r="AG69" s="144" t="s">
        <v>95</v>
      </c>
      <c r="AH69" s="141"/>
      <c r="AI69" s="110">
        <v>7.0839202594276274E-3</v>
      </c>
    </row>
    <row r="70" spans="4:35" x14ac:dyDescent="0.2">
      <c r="D70" s="56" t="str">
        <f>'Extrai Base'!A12</f>
        <v>ROLL FOR ARTEFATOS METALICOS LTDA</v>
      </c>
      <c r="E70" s="138"/>
      <c r="F70" s="57">
        <f>'Extrai Base'!B12</f>
        <v>1915276.91</v>
      </c>
      <c r="G70" s="6">
        <f t="shared" si="1"/>
        <v>0.10712762750265045</v>
      </c>
      <c r="AC70" s="127">
        <v>41974</v>
      </c>
      <c r="AD70" s="128"/>
      <c r="AE70" s="108">
        <v>2.9319863754061815E-2</v>
      </c>
      <c r="AF70" s="108">
        <v>1.67E-2</v>
      </c>
    </row>
    <row r="71" spans="4:35" x14ac:dyDescent="0.2">
      <c r="D71" s="56" t="str">
        <f>'Extrai Base'!A13</f>
        <v>CONEXAO SISTEMAS DE PROTESE LTDA</v>
      </c>
      <c r="E71" s="138"/>
      <c r="F71" s="57">
        <f>'Extrai Base'!B13</f>
        <v>1896348.64</v>
      </c>
      <c r="G71" s="6">
        <f t="shared" si="1"/>
        <v>0.10606890818783889</v>
      </c>
      <c r="X71" s="83" t="s">
        <v>46</v>
      </c>
      <c r="Y71" s="84"/>
      <c r="Z71" s="47">
        <f>SUM(Z72:Z82)</f>
        <v>23980504.110000003</v>
      </c>
      <c r="AA71" s="48">
        <f>IFERROR(Z71/$Z$71,0)</f>
        <v>1</v>
      </c>
      <c r="AC71" s="127">
        <v>42005</v>
      </c>
      <c r="AD71" s="128"/>
      <c r="AE71" s="108">
        <v>9.79992656988651E-3</v>
      </c>
      <c r="AF71" s="108">
        <v>3.2500000000000001E-2</v>
      </c>
    </row>
    <row r="72" spans="4:35" x14ac:dyDescent="0.2">
      <c r="D72" s="58" t="s">
        <v>72</v>
      </c>
      <c r="E72" s="58"/>
      <c r="F72" s="59">
        <f>SUM(F67:F69)</f>
        <v>8593859.1000000015</v>
      </c>
      <c r="G72" s="6">
        <f t="shared" si="1"/>
        <v>0.48068231370003989</v>
      </c>
      <c r="X72" s="151" t="s">
        <v>144</v>
      </c>
      <c r="Y72" s="152"/>
      <c r="Z72" s="51">
        <f>'Extrai Base'!C27</f>
        <v>759395.13</v>
      </c>
      <c r="AA72" s="52">
        <f>IFERROR(Z72/$Z$71,0)</f>
        <v>3.1667187917176771E-2</v>
      </c>
      <c r="AC72" s="127">
        <v>42036</v>
      </c>
      <c r="AD72" s="128"/>
      <c r="AE72" s="108">
        <v>1.8415908054138584E-2</v>
      </c>
      <c r="AF72" s="108">
        <v>6.5600000000000006E-2</v>
      </c>
    </row>
    <row r="73" spans="4:35" ht="11.25" customHeight="1" x14ac:dyDescent="0.2">
      <c r="D73" s="58" t="s">
        <v>55</v>
      </c>
      <c r="E73" s="58"/>
      <c r="F73" s="59">
        <f>SUM(F67:F71)</f>
        <v>12405484.650000002</v>
      </c>
      <c r="G73" s="6">
        <f t="shared" si="1"/>
        <v>0.69387884939052924</v>
      </c>
      <c r="X73" s="151" t="s">
        <v>47</v>
      </c>
      <c r="Y73" s="152"/>
      <c r="Z73" s="51">
        <f>'Extrai Base'!C28</f>
        <v>662850.37</v>
      </c>
      <c r="AA73" s="52">
        <f t="shared" ref="AA73:AA82" si="2">IFERROR(Z73/$Z$71,0)</f>
        <v>2.7641219173686501E-2</v>
      </c>
      <c r="AC73" s="127">
        <v>42064</v>
      </c>
      <c r="AD73" s="128"/>
      <c r="AE73" s="108">
        <v>3.5341877386573024E-2</v>
      </c>
      <c r="AF73" s="108">
        <v>7.2800000000000004E-2</v>
      </c>
    </row>
    <row r="74" spans="4:35" ht="11.25" customHeight="1" x14ac:dyDescent="0.2">
      <c r="D74" s="49"/>
      <c r="E74" s="49"/>
      <c r="F74" s="49"/>
      <c r="G74" s="81"/>
      <c r="X74" s="151" t="s">
        <v>49</v>
      </c>
      <c r="Y74" s="152"/>
      <c r="Z74" s="51">
        <f>'Extrai Base'!C29</f>
        <v>5003833.45</v>
      </c>
      <c r="AA74" s="52">
        <f t="shared" si="2"/>
        <v>0.20866256301565295</v>
      </c>
      <c r="AC74" s="127">
        <v>42095</v>
      </c>
      <c r="AD74" s="128"/>
      <c r="AE74" s="108">
        <v>4.3261890539377366E-2</v>
      </c>
      <c r="AF74" s="108">
        <v>5.7144168361981267E-2</v>
      </c>
    </row>
    <row r="75" spans="4:35" ht="11.25" customHeight="1" x14ac:dyDescent="0.2">
      <c r="D75" s="53" t="s">
        <v>43</v>
      </c>
      <c r="E75" s="129"/>
      <c r="F75" s="54" t="s">
        <v>48</v>
      </c>
      <c r="G75" s="55" t="s">
        <v>0</v>
      </c>
      <c r="X75" s="151" t="s">
        <v>50</v>
      </c>
      <c r="Y75" s="152"/>
      <c r="Z75" s="51">
        <f>'Extrai Base'!C30</f>
        <v>4634659.08</v>
      </c>
      <c r="AA75" s="52">
        <f t="shared" si="2"/>
        <v>0.1932677919838775</v>
      </c>
      <c r="AC75" s="127"/>
      <c r="AD75" s="128"/>
      <c r="AE75" s="108"/>
      <c r="AF75" s="108"/>
    </row>
    <row r="76" spans="4:35" ht="11.25" customHeight="1" x14ac:dyDescent="0.2">
      <c r="D76" s="56" t="str">
        <f>'Extrai Base'!A18</f>
        <v>ZF DO BRASIL LTDA</v>
      </c>
      <c r="E76" s="138"/>
      <c r="F76" s="57">
        <f>'Extrai Base'!B18</f>
        <v>2099705.5</v>
      </c>
      <c r="G76" s="6">
        <f t="shared" ref="G76:G81" si="3">(F76/$G$59)</f>
        <v>0.11744331459061261</v>
      </c>
      <c r="X76" s="151" t="s">
        <v>51</v>
      </c>
      <c r="Y76" s="152"/>
      <c r="Z76" s="51">
        <f>'Extrai Base'!C31</f>
        <v>1463780.35</v>
      </c>
      <c r="AA76" s="52">
        <f t="shared" si="2"/>
        <v>6.1040432815154859E-2</v>
      </c>
      <c r="AC76" s="127"/>
      <c r="AD76" s="128"/>
      <c r="AE76" s="108"/>
      <c r="AF76" s="108"/>
    </row>
    <row r="77" spans="4:35" ht="11.25" customHeight="1" x14ac:dyDescent="0.2">
      <c r="D77" s="56" t="str">
        <f>'Extrai Base'!A19</f>
        <v>ECO X SOL TECNOLOGICAS UNIDADES MOVEIS E</v>
      </c>
      <c r="E77" s="138"/>
      <c r="F77" s="57">
        <f>'Extrai Base'!B19</f>
        <v>1084000</v>
      </c>
      <c r="G77" s="6">
        <f t="shared" si="3"/>
        <v>6.063162334728564E-2</v>
      </c>
      <c r="X77" s="151" t="s">
        <v>52</v>
      </c>
      <c r="Y77" s="152"/>
      <c r="Z77" s="51">
        <f>'Extrai Base'!C32</f>
        <v>651334.44999999995</v>
      </c>
      <c r="AA77" s="52">
        <f t="shared" si="2"/>
        <v>2.716099907709571E-2</v>
      </c>
    </row>
    <row r="78" spans="4:35" ht="11.25" customHeight="1" x14ac:dyDescent="0.2">
      <c r="D78" s="56" t="str">
        <f>'Extrai Base'!A20</f>
        <v>Extrusa Ind e Com de Plasticos Ltda</v>
      </c>
      <c r="E78" s="138"/>
      <c r="F78" s="57">
        <f>'Extrai Base'!B20</f>
        <v>1000439.89</v>
      </c>
      <c r="G78" s="6">
        <f t="shared" si="3"/>
        <v>5.5957836339557081E-2</v>
      </c>
      <c r="X78" s="151" t="s">
        <v>53</v>
      </c>
      <c r="Y78" s="152"/>
      <c r="Z78" s="51">
        <f>'Extrai Base'!C33</f>
        <v>1913951.15</v>
      </c>
      <c r="AA78" s="52">
        <f t="shared" si="2"/>
        <v>7.9812798814428251E-2</v>
      </c>
      <c r="AE78" s="139" t="s">
        <v>118</v>
      </c>
      <c r="AF78" s="140"/>
      <c r="AG78" s="109"/>
    </row>
    <row r="79" spans="4:35" x14ac:dyDescent="0.2">
      <c r="D79" s="56" t="str">
        <f>'Extrai Base'!A21</f>
        <v>MABE BRASIL ELETR LT (ITU)</v>
      </c>
      <c r="E79" s="138"/>
      <c r="F79" s="57">
        <f>'Extrai Base'!B21</f>
        <v>849941.5</v>
      </c>
      <c r="G79" s="6">
        <f t="shared" si="3"/>
        <v>4.753997499559684E-2</v>
      </c>
      <c r="X79" s="151" t="s">
        <v>54</v>
      </c>
      <c r="Y79" s="152"/>
      <c r="Z79" s="51">
        <f>'Extrai Base'!C34</f>
        <v>3861054.71</v>
      </c>
      <c r="AA79" s="52">
        <f t="shared" si="2"/>
        <v>0.16100807106844425</v>
      </c>
      <c r="AE79" s="139"/>
      <c r="AF79" s="111" t="s">
        <v>99</v>
      </c>
      <c r="AG79" s="112" t="s">
        <v>100</v>
      </c>
    </row>
    <row r="80" spans="4:35" x14ac:dyDescent="0.2">
      <c r="D80" s="56" t="str">
        <f>'Extrai Base'!A22</f>
        <v>NADIR FIGUEIREDO INDUSTRIA E COM. S.A.</v>
      </c>
      <c r="E80" s="138"/>
      <c r="F80" s="57">
        <f>'Extrai Base'!B22</f>
        <v>619471</v>
      </c>
      <c r="G80" s="6">
        <f t="shared" si="3"/>
        <v>3.4649015079858285E-2</v>
      </c>
      <c r="X80" s="151" t="s">
        <v>56</v>
      </c>
      <c r="Y80" s="152"/>
      <c r="Z80" s="51">
        <f>'Extrai Base'!C35</f>
        <v>3823371.88</v>
      </c>
      <c r="AA80" s="52">
        <f t="shared" si="2"/>
        <v>0.15943667666292438</v>
      </c>
      <c r="AE80" s="141" t="s">
        <v>123</v>
      </c>
      <c r="AF80" s="113" t="s">
        <v>111</v>
      </c>
      <c r="AG80" s="113" t="s">
        <v>111</v>
      </c>
    </row>
    <row r="81" spans="4:35" x14ac:dyDescent="0.2">
      <c r="D81" s="58" t="s">
        <v>55</v>
      </c>
      <c r="E81" s="58"/>
      <c r="F81" s="59">
        <f>SUM(F76:F80)</f>
        <v>5653557.8900000006</v>
      </c>
      <c r="G81" s="6">
        <f t="shared" si="3"/>
        <v>0.31622176435291049</v>
      </c>
      <c r="X81" s="151" t="s">
        <v>57</v>
      </c>
      <c r="Y81" s="152"/>
      <c r="Z81" s="51">
        <f>'Extrai Base'!C36</f>
        <v>1186095.53</v>
      </c>
      <c r="AA81" s="52">
        <f t="shared" si="2"/>
        <v>4.9460825533913261E-2</v>
      </c>
      <c r="AE81" s="141" t="s">
        <v>124</v>
      </c>
      <c r="AF81" s="113" t="s">
        <v>111</v>
      </c>
      <c r="AG81" s="113" t="s">
        <v>111</v>
      </c>
    </row>
    <row r="82" spans="4:35" x14ac:dyDescent="0.2">
      <c r="G82" s="5"/>
      <c r="H82" s="50"/>
      <c r="X82" s="151" t="s">
        <v>58</v>
      </c>
      <c r="Y82" s="152"/>
      <c r="Z82" s="51">
        <f>'Extrai Base'!C37</f>
        <v>20178.009999999998</v>
      </c>
      <c r="AA82" s="52">
        <f t="shared" si="2"/>
        <v>8.4143393764544159E-4</v>
      </c>
      <c r="AE82" s="141" t="s">
        <v>96</v>
      </c>
      <c r="AF82" s="113" t="s">
        <v>125</v>
      </c>
      <c r="AG82" s="113" t="s">
        <v>125</v>
      </c>
    </row>
    <row r="83" spans="4:35" ht="11.25" customHeight="1" x14ac:dyDescent="0.2">
      <c r="D83" s="75" t="s">
        <v>59</v>
      </c>
      <c r="E83" s="73"/>
      <c r="F83" s="76" t="s">
        <v>60</v>
      </c>
      <c r="G83" s="74"/>
    </row>
    <row r="84" spans="4:35" x14ac:dyDescent="0.2">
      <c r="D84" s="61" t="s">
        <v>61</v>
      </c>
      <c r="E84" s="77">
        <f>Tabela_orderbysql_orderbysql_netfactor_checagemTEMP[TitulosMenores50Quantidade]</f>
        <v>124</v>
      </c>
      <c r="F84" s="62" t="s">
        <v>62</v>
      </c>
      <c r="G84" s="60" t="s">
        <v>5</v>
      </c>
      <c r="X84" s="64" t="s">
        <v>101</v>
      </c>
      <c r="Y84" s="64"/>
      <c r="Z84" s="64"/>
      <c r="AA84" s="64"/>
    </row>
    <row r="85" spans="4:35" ht="11.25" customHeight="1" x14ac:dyDescent="0.2">
      <c r="D85" s="12" t="s">
        <v>63</v>
      </c>
      <c r="E85" s="78">
        <f>Tabela_orderbysql_orderbysql_netfactor_checagemTEMP[TitulosMenores50UltimoVencimento]</f>
        <v>42302</v>
      </c>
      <c r="F85" s="63" t="s">
        <v>4</v>
      </c>
      <c r="G85" s="60">
        <f>Tabela_orderbysql_orderbysql_netfactor_checagemTEMP[PrazoMedioDoFundo]</f>
        <v>31.66</v>
      </c>
      <c r="I85" s="50"/>
    </row>
    <row r="86" spans="4:35" ht="11.25" customHeight="1" x14ac:dyDescent="0.2">
      <c r="G86" s="5"/>
      <c r="I86" s="50"/>
      <c r="X86" s="45" t="s">
        <v>107</v>
      </c>
      <c r="Y86" s="143"/>
      <c r="Z86" s="45"/>
      <c r="AA86" s="45" t="s">
        <v>108</v>
      </c>
      <c r="AB86" s="46"/>
      <c r="AC86" s="46"/>
      <c r="AD86" s="46"/>
      <c r="AE86" s="45"/>
      <c r="AF86" s="145" t="s">
        <v>105</v>
      </c>
      <c r="AG86" s="146"/>
      <c r="AH86" s="157">
        <f>SMALL(AE121:AG121,1)</f>
        <v>30761360.036666669</v>
      </c>
      <c r="AI86" s="157"/>
    </row>
    <row r="87" spans="4:35" ht="11.25" customHeight="1" x14ac:dyDescent="0.2">
      <c r="D87" s="75" t="s">
        <v>141</v>
      </c>
      <c r="E87" s="73"/>
      <c r="F87" s="75" t="s">
        <v>97</v>
      </c>
      <c r="G87" s="72"/>
      <c r="X87" s="45" t="s">
        <v>102</v>
      </c>
      <c r="Y87" s="45"/>
      <c r="Z87" s="122">
        <f>SUM(E53:G53)</f>
        <v>17878459.129999999</v>
      </c>
      <c r="AA87" s="45" t="s">
        <v>106</v>
      </c>
      <c r="AB87" s="45"/>
      <c r="AC87" s="45"/>
      <c r="AD87" s="149">
        <f>SUM(Z87:Z88)-AD88</f>
        <v>9123291.6799999997</v>
      </c>
      <c r="AE87" s="150"/>
      <c r="AF87" s="145" t="s">
        <v>109</v>
      </c>
      <c r="AG87" s="146"/>
      <c r="AH87" s="157">
        <f>SMALL(AE122:AG122,1)</f>
        <v>6752493.630092198</v>
      </c>
      <c r="AI87" s="157"/>
    </row>
    <row r="88" spans="4:35" ht="11.25" customHeight="1" x14ac:dyDescent="0.2">
      <c r="D88" s="61" t="s">
        <v>2</v>
      </c>
      <c r="E88" s="79">
        <f>Tabela_orderbysql_orderbysql_netfactor_checagemTEMP[SomaDosCheques]</f>
        <v>11784588.25</v>
      </c>
      <c r="F88" s="61" t="s">
        <v>73</v>
      </c>
      <c r="G88" s="82">
        <f>LARGE($F$16:$L$16,1)</f>
        <v>43040</v>
      </c>
      <c r="X88" s="45" t="s">
        <v>103</v>
      </c>
      <c r="Y88" s="45"/>
      <c r="Z88" s="122">
        <f>SUM(H53:I53)</f>
        <v>0</v>
      </c>
      <c r="AA88" s="45" t="s">
        <v>104</v>
      </c>
      <c r="AB88" s="45"/>
      <c r="AC88" s="45"/>
      <c r="AD88" s="149">
        <f>E53</f>
        <v>8755167.4499999993</v>
      </c>
      <c r="AE88" s="149"/>
    </row>
    <row r="89" spans="4:35" x14ac:dyDescent="0.2">
      <c r="D89" s="12" t="s">
        <v>3</v>
      </c>
      <c r="E89" s="80">
        <f>E88/G59</f>
        <v>0.65915010708196309</v>
      </c>
      <c r="F89" s="12" t="s">
        <v>98</v>
      </c>
      <c r="G89" s="82">
        <f>Tabela_orderbysql_orderbysql_netfactor_checagemTEMP[VencDoUltimoTitulo]</f>
        <v>42658</v>
      </c>
      <c r="Z89" s="122"/>
      <c r="AB89" s="122"/>
    </row>
    <row r="106" spans="21:21" x14ac:dyDescent="0.2">
      <c r="U106" s="1" t="s">
        <v>1</v>
      </c>
    </row>
    <row r="111" spans="21:21" hidden="1" x14ac:dyDescent="0.2"/>
    <row r="112" spans="21:21" hidden="1" x14ac:dyDescent="0.2"/>
    <row r="113" spans="29:33" hidden="1" x14ac:dyDescent="0.2">
      <c r="AC113" s="159">
        <f>AC115-(AC115/138.888888%)</f>
        <v>0</v>
      </c>
      <c r="AD113" s="159"/>
      <c r="AE113" s="116"/>
      <c r="AF113" s="114">
        <f>AF115-(AF115/121.95122%)</f>
        <v>2002673.8199078012</v>
      </c>
      <c r="AG113" s="116"/>
    </row>
    <row r="114" spans="29:33" hidden="1" x14ac:dyDescent="0.2">
      <c r="AC114" s="160">
        <f>Z88</f>
        <v>0</v>
      </c>
      <c r="AD114" s="161"/>
      <c r="AE114" s="118" t="e">
        <f>AC113/AC115</f>
        <v>#DIV/0!</v>
      </c>
      <c r="AF114" s="117">
        <f>SUM(AD87)</f>
        <v>9123291.6799999997</v>
      </c>
      <c r="AG114" s="118">
        <f>AF113/AF115</f>
        <v>0.18000000328000004</v>
      </c>
    </row>
    <row r="115" spans="29:33" hidden="1" x14ac:dyDescent="0.2">
      <c r="AC115" s="158">
        <f>(Z88*100%)/72%</f>
        <v>0</v>
      </c>
      <c r="AD115" s="158"/>
      <c r="AF115" s="119">
        <f>(SUM(AD87)*100%)/82%</f>
        <v>11125965.463414634</v>
      </c>
    </row>
    <row r="116" spans="29:33" hidden="1" x14ac:dyDescent="0.2">
      <c r="AC116" s="123"/>
    </row>
    <row r="117" spans="29:33" hidden="1" x14ac:dyDescent="0.2">
      <c r="AC117" s="162">
        <f>Z87</f>
        <v>17878459.129999999</v>
      </c>
      <c r="AD117" s="162"/>
      <c r="AE117" s="115"/>
      <c r="AF117" s="120">
        <f>AD88</f>
        <v>8755167.4499999993</v>
      </c>
      <c r="AG117" s="115"/>
    </row>
    <row r="118" spans="29:33" hidden="1" x14ac:dyDescent="0.2">
      <c r="AC118" s="163">
        <f>AC119-AC117</f>
        <v>45973180.61999999</v>
      </c>
      <c r="AD118" s="164"/>
      <c r="AE118" s="118">
        <f>AC117/AC119</f>
        <v>0.28000000000000003</v>
      </c>
      <c r="AF118" s="121">
        <f>AF119-AF117</f>
        <v>39884651.716666669</v>
      </c>
      <c r="AG118" s="118">
        <f>AF117/AF119</f>
        <v>0.18</v>
      </c>
    </row>
    <row r="119" spans="29:33" hidden="1" x14ac:dyDescent="0.2">
      <c r="AC119" s="158">
        <f>(Z87*100%)/28%</f>
        <v>63851639.749999993</v>
      </c>
      <c r="AD119" s="158"/>
      <c r="AF119" s="119">
        <f>(AD88*100%)/18%</f>
        <v>48639819.166666664</v>
      </c>
    </row>
    <row r="120" spans="29:33" hidden="1" x14ac:dyDescent="0.2"/>
    <row r="121" spans="29:33" hidden="1" x14ac:dyDescent="0.2">
      <c r="AD121" s="125" t="s">
        <v>105</v>
      </c>
      <c r="AE121" s="124">
        <f>AC118-Z88</f>
        <v>45973180.61999999</v>
      </c>
      <c r="AF121" s="125" t="s">
        <v>105</v>
      </c>
      <c r="AG121" s="124">
        <f>AF118-SUM(AD87)</f>
        <v>30761360.036666669</v>
      </c>
    </row>
    <row r="122" spans="29:33" hidden="1" x14ac:dyDescent="0.2">
      <c r="AD122" s="125" t="s">
        <v>110</v>
      </c>
      <c r="AE122" s="124">
        <f>Z87-AC113</f>
        <v>17878459.129999999</v>
      </c>
      <c r="AF122" s="125" t="s">
        <v>110</v>
      </c>
      <c r="AG122" s="124">
        <f>AD88-AF113</f>
        <v>6752493.630092198</v>
      </c>
    </row>
    <row r="123" spans="29:33" hidden="1" x14ac:dyDescent="0.2"/>
    <row r="124" spans="29:33" hidden="1" x14ac:dyDescent="0.2"/>
    <row r="125" spans="29:33" hidden="1" x14ac:dyDescent="0.2"/>
    <row r="126" spans="29:33" hidden="1" x14ac:dyDescent="0.2"/>
  </sheetData>
  <protectedRanges>
    <protectedRange sqref="F8:G8 E21:G21 I8 I21 E39:G39 I39" name="Intervalo3"/>
    <protectedRange sqref="E20" name="Intervalo3_2"/>
  </protectedRanges>
  <mergeCells count="39">
    <mergeCell ref="AH86:AI86"/>
    <mergeCell ref="AH87:AI87"/>
    <mergeCell ref="AC119:AD119"/>
    <mergeCell ref="AC113:AD113"/>
    <mergeCell ref="AC114:AD114"/>
    <mergeCell ref="AC115:AD115"/>
    <mergeCell ref="AC117:AD117"/>
    <mergeCell ref="AC118:AD118"/>
    <mergeCell ref="AF10:AF11"/>
    <mergeCell ref="AG10:AG11"/>
    <mergeCell ref="O8:P9"/>
    <mergeCell ref="Q8:Q9"/>
    <mergeCell ref="R8:R9"/>
    <mergeCell ref="AC10:AC11"/>
    <mergeCell ref="AD10:AD11"/>
    <mergeCell ref="AE10:AE11"/>
    <mergeCell ref="X58:Y58"/>
    <mergeCell ref="X59:Y59"/>
    <mergeCell ref="X60:Y60"/>
    <mergeCell ref="X61:Y61"/>
    <mergeCell ref="X62:Y62"/>
    <mergeCell ref="X63:Y63"/>
    <mergeCell ref="X64:Y64"/>
    <mergeCell ref="X65:Y65"/>
    <mergeCell ref="X66:Y66"/>
    <mergeCell ref="X67:Y67"/>
    <mergeCell ref="X72:Y72"/>
    <mergeCell ref="X73:Y73"/>
    <mergeCell ref="X74:Y74"/>
    <mergeCell ref="X75:Y75"/>
    <mergeCell ref="X76:Y76"/>
    <mergeCell ref="AD87:AE87"/>
    <mergeCell ref="AD88:AE88"/>
    <mergeCell ref="X82:Y82"/>
    <mergeCell ref="X77:Y77"/>
    <mergeCell ref="X78:Y78"/>
    <mergeCell ref="X79:Y79"/>
    <mergeCell ref="X80:Y80"/>
    <mergeCell ref="X81:Y81"/>
  </mergeCells>
  <printOptions horizontalCentered="1"/>
  <pageMargins left="0.31496062992125984" right="0.31496062992125984" top="0.39370078740157483" bottom="0.39370078740157483" header="0.31496062992125984" footer="0.31496062992125984"/>
  <pageSetup paperSize="8" scale="74" orientation="landscape" r:id="rId1"/>
  <ignoredErrors>
    <ignoredError sqref="F72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se_dos_5_lancamentos">
                <anchor moveWithCells="1" sizeWithCells="1">
                  <from>
                    <xdr:col>6</xdr:col>
                    <xdr:colOff>104775</xdr:colOff>
                    <xdr:row>0</xdr:row>
                    <xdr:rowOff>19050</xdr:rowOff>
                  </from>
                  <to>
                    <xdr:col>6</xdr:col>
                    <xdr:colOff>981075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raficos_do_Painel">
                <anchor moveWithCells="1" sizeWithCells="1">
                  <from>
                    <xdr:col>7</xdr:col>
                    <xdr:colOff>104775</xdr:colOff>
                    <xdr:row>0</xdr:row>
                    <xdr:rowOff>19050</xdr:rowOff>
                  </from>
                  <to>
                    <xdr:col>7</xdr:col>
                    <xdr:colOff>981075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" id="{E7741307-D666-4EDC-A09B-99F47487B1EB}">
            <x14:iconSet custom="1">
              <x14:cfvo type="percent">
                <xm:f>0</xm:f>
              </x14:cfvo>
              <x14:cfvo type="num">
                <xm:f>0.16500000000000001</xm:f>
              </x14:cfvo>
              <x14:cfvo type="num">
                <xm:f>0.2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G67:G71</xm:sqref>
        </x14:conditionalFormatting>
        <x14:conditionalFormatting xmlns:xm="http://schemas.microsoft.com/office/excel/2006/main">
          <x14:cfRule type="iconSet" priority="25" id="{33C7C86C-533E-470C-B4B2-E51D463724AB}">
            <x14:iconSet custom="1">
              <x14:cfvo type="percent">
                <xm:f>0</xm:f>
              </x14:cfvo>
              <x14:cfvo type="num">
                <xm:f>0.11</xm:f>
              </x14:cfvo>
              <x14:cfvo type="num">
                <xm:f>0.15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I77</xm:sqref>
        </x14:conditionalFormatting>
        <x14:conditionalFormatting xmlns:xm="http://schemas.microsoft.com/office/excel/2006/main">
          <x14:cfRule type="iconSet" priority="30" id="{C1B0222B-0377-40EB-9DD2-DDBD77884C19}">
            <x14:iconSet custom="1">
              <x14:cfvo type="percent">
                <xm:f>0</xm:f>
              </x14:cfvo>
              <x14:cfvo type="num">
                <xm:f>0.08</xm:f>
              </x14:cfvo>
              <x14:cfvo type="num">
                <xm:f>0.1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G76:G80</xm:sqref>
        </x14:conditionalFormatting>
        <x14:conditionalFormatting xmlns:xm="http://schemas.microsoft.com/office/excel/2006/main">
          <x14:cfRule type="iconSet" priority="33" id="{4BF6ADBF-F99A-414D-89B9-FC24A80EE444}">
            <x14:iconSet custom="1">
              <x14:cfvo type="percent">
                <xm:f>0</xm:f>
              </x14:cfvo>
              <x14:cfvo type="num">
                <xm:f>0.11</xm:f>
              </x14:cfvo>
              <x14:cfvo type="num">
                <xm:f>0.15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I57:I65</xm:sqref>
        </x14:conditionalFormatting>
        <x14:conditionalFormatting xmlns:xm="http://schemas.microsoft.com/office/excel/2006/main">
          <x14:cfRule type="iconSet" priority="19" id="{801B9CC5-9157-4A69-A282-0F79F1B8C7A7}">
            <x14:iconSet custom="1">
              <x14:cfvo type="percent">
                <xm:f>0</xm:f>
              </x14:cfvo>
              <x14:cfvo type="num">
                <xm:f>0.04</xm:f>
              </x14:cfvo>
              <x14:cfvo type="num">
                <xm:f>0.05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AE73</xm:sqref>
        </x14:conditionalFormatting>
        <x14:conditionalFormatting xmlns:xm="http://schemas.microsoft.com/office/excel/2006/main">
          <x14:cfRule type="iconSet" priority="14" id="{022729CA-65C1-4A15-997C-9146E46A01C1}">
            <x14:iconSet custom="1">
              <x14:cfvo type="percent">
                <xm:f>0</xm:f>
              </x14:cfvo>
              <x14:cfvo type="num">
                <xm:f>0.04</xm:f>
              </x14:cfvo>
              <x14:cfvo type="num">
                <xm:f>0.05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AE72</xm:sqref>
        </x14:conditionalFormatting>
        <x14:conditionalFormatting xmlns:xm="http://schemas.microsoft.com/office/excel/2006/main">
          <x14:cfRule type="iconSet" priority="13" id="{83A94C87-B205-4746-9745-A64227AD8A73}">
            <x14:iconSet custom="1">
              <x14:cfvo type="percent">
                <xm:f>0</xm:f>
              </x14:cfvo>
              <x14:cfvo type="num">
                <xm:f>0.04</xm:f>
              </x14:cfvo>
              <x14:cfvo type="num">
                <xm:f>0.05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AE71</xm:sqref>
        </x14:conditionalFormatting>
        <x14:conditionalFormatting xmlns:xm="http://schemas.microsoft.com/office/excel/2006/main">
          <x14:cfRule type="iconSet" priority="12" id="{6C8FE52F-A2E3-49F7-B27A-1B6F772D564A}">
            <x14:iconSet custom="1">
              <x14:cfvo type="percent">
                <xm:f>0</xm:f>
              </x14:cfvo>
              <x14:cfvo type="num">
                <xm:f>0.04</xm:f>
              </x14:cfvo>
              <x14:cfvo type="num">
                <xm:f>0.05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AE70</xm:sqref>
        </x14:conditionalFormatting>
        <x14:conditionalFormatting xmlns:xm="http://schemas.microsoft.com/office/excel/2006/main">
          <x14:cfRule type="iconSet" priority="10" id="{97502047-A0BC-496A-B995-98A2EEDD602D}">
            <x14:iconSet custom="1">
              <x14:cfvo type="percent">
                <xm:f>0</xm:f>
              </x14:cfvo>
              <x14:cfvo type="num">
                <xm:f>3.4000000000000002E-2</xm:f>
              </x14:cfvo>
              <x14:cfvo type="num">
                <xm:f>0.04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AF73</xm:sqref>
        </x14:conditionalFormatting>
        <x14:conditionalFormatting xmlns:xm="http://schemas.microsoft.com/office/excel/2006/main">
          <x14:cfRule type="iconSet" priority="9" id="{7A6FFD69-FF40-4B9C-80E9-DDD9A42150F2}">
            <x14:iconSet custom="1">
              <x14:cfvo type="percent">
                <xm:f>0</xm:f>
              </x14:cfvo>
              <x14:cfvo type="num">
                <xm:f>_xlfn.AGGREGATE(4,6,$G$76:$G$81)</xm:f>
              </x14:cfvo>
              <x14:cfvo type="num">
                <xm:f>0.04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AF74</xm:sqref>
        </x14:conditionalFormatting>
        <x14:conditionalFormatting xmlns:xm="http://schemas.microsoft.com/office/excel/2006/main">
          <x14:cfRule type="iconSet" priority="8" id="{41817543-4D1B-4B65-9E5C-40E640DB879A}">
            <x14:iconSet custom="1">
              <x14:cfvo type="percent">
                <xm:f>0</xm:f>
              </x14:cfvo>
              <x14:cfvo type="num">
                <xm:f>3.4000000000000002E-2</xm:f>
              </x14:cfvo>
              <x14:cfvo type="num">
                <xm:f>0.04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AF76</xm:sqref>
        </x14:conditionalFormatting>
        <x14:conditionalFormatting xmlns:xm="http://schemas.microsoft.com/office/excel/2006/main">
          <x14:cfRule type="iconSet" priority="7" id="{BD61368D-BE9C-4869-82D7-EB148514B520}">
            <x14:iconSet custom="1">
              <x14:cfvo type="percent">
                <xm:f>0</xm:f>
              </x14:cfvo>
              <x14:cfvo type="num">
                <xm:f>3.4000000000000002E-2</xm:f>
              </x14:cfvo>
              <x14:cfvo type="num">
                <xm:f>0.04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AF72</xm:sqref>
        </x14:conditionalFormatting>
        <x14:conditionalFormatting xmlns:xm="http://schemas.microsoft.com/office/excel/2006/main">
          <x14:cfRule type="iconSet" priority="6" id="{2BC53935-0094-44E7-8D0B-12F0A44EC108}">
            <x14:iconSet custom="1">
              <x14:cfvo type="percent">
                <xm:f>0</xm:f>
              </x14:cfvo>
              <x14:cfvo type="num">
                <xm:f>3.4000000000000002E-2</xm:f>
              </x14:cfvo>
              <x14:cfvo type="num">
                <xm:f>0.04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AF71</xm:sqref>
        </x14:conditionalFormatting>
        <x14:conditionalFormatting xmlns:xm="http://schemas.microsoft.com/office/excel/2006/main">
          <x14:cfRule type="iconSet" priority="5" id="{3029FEEA-519E-486B-B625-5B5E6F20BEFB}">
            <x14:iconSet custom="1">
              <x14:cfvo type="percent">
                <xm:f>0</xm:f>
              </x14:cfvo>
              <x14:cfvo type="num">
                <xm:f>0.06</xm:f>
              </x14:cfvo>
              <x14:cfvo type="num">
                <xm:f>7.0000000000000007E-2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AF70:AF76</xm:sqref>
        </x14:conditionalFormatting>
        <x14:conditionalFormatting xmlns:xm="http://schemas.microsoft.com/office/excel/2006/main">
          <x14:cfRule type="iconSet" priority="4" id="{C939235A-F3A4-4B80-8D0D-070AFBCBDE0D}">
            <x14:iconSet custom="1">
              <x14:cfvo type="percent">
                <xm:f>0</xm:f>
              </x14:cfvo>
              <x14:cfvo type="num">
                <xm:f>3.4000000000000002E-2</xm:f>
              </x14:cfvo>
              <x14:cfvo type="num">
                <xm:f>0.04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AF75</xm:sqref>
        </x14:conditionalFormatting>
        <x14:conditionalFormatting xmlns:xm="http://schemas.microsoft.com/office/excel/2006/main">
          <x14:cfRule type="iconSet" priority="3" id="{4A25DDC8-7BBC-42A3-A538-2A29BF48C41B}">
            <x14:iconSet custom="1">
              <x14:cfvo type="percent">
                <xm:f>0</xm:f>
              </x14:cfvo>
              <x14:cfvo type="num">
                <xm:f>0.04</xm:f>
              </x14:cfvo>
              <x14:cfvo type="num">
                <xm:f>0.05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AE74</xm:sqref>
        </x14:conditionalFormatting>
        <x14:conditionalFormatting xmlns:xm="http://schemas.microsoft.com/office/excel/2006/main">
          <x14:cfRule type="iconSet" priority="2" id="{D7FC15E0-BD02-46E7-904C-43ADB0EDF7D8}">
            <x14:iconSet custom="1">
              <x14:cfvo type="percent">
                <xm:f>0</xm:f>
              </x14:cfvo>
              <x14:cfvo type="num">
                <xm:f>0.04</xm:f>
              </x14:cfvo>
              <x14:cfvo type="num">
                <xm:f>0.05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AE75</xm:sqref>
        </x14:conditionalFormatting>
        <x14:conditionalFormatting xmlns:xm="http://schemas.microsoft.com/office/excel/2006/main">
          <x14:cfRule type="iconSet" priority="1" id="{BEA86023-3288-4A8E-A102-405746B9947E}">
            <x14:iconSet custom="1">
              <x14:cfvo type="percent">
                <xm:f>0</xm:f>
              </x14:cfvo>
              <x14:cfvo type="num">
                <xm:f>0.04</xm:f>
              </x14:cfvo>
              <x14:cfvo type="num">
                <xm:f>0.05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AE76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Média Móvel</vt:lpstr>
      <vt:lpstr>Extrai Base</vt:lpstr>
      <vt:lpstr>Painel FIDC</vt:lpstr>
      <vt:lpstr>'Painel FIDC'!Area_de_impressao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Marcelo Dias</dc:creator>
  <cp:lastModifiedBy>Creditbr</cp:lastModifiedBy>
  <cp:lastPrinted>2015-04-23T14:44:53Z</cp:lastPrinted>
  <dcterms:created xsi:type="dcterms:W3CDTF">2015-03-10T17:57:31Z</dcterms:created>
  <dcterms:modified xsi:type="dcterms:W3CDTF">2015-05-15T12:07:13Z</dcterms:modified>
</cp:coreProperties>
</file>